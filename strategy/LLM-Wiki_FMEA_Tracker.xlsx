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 Tracker" sheetId="1" state="visible" r:id="rId3"/>
    <sheet name="Risk Heat Map" sheetId="2" state="visible" r:id="rId4"/>
  </sheets>
  <definedNames>
    <definedName function="false" hidden="true" localSheetId="0" name="_xlnm._FilterDatabase" vbProcedure="false">'FMEA Tracker'!$A$1:$K$1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<sst xmlns="http://schemas.openxmlformats.org/spreadsheetml/2006/main" count="207" uniqueCount="130">
  <si>
    <t xml:space="preserve">ID</t>
  </si>
  <si>
    <t xml:space="preserve">Category</t>
  </si>
  <si>
    <t xml:space="preserve">Failure Mode</t>
  </si>
  <si>
    <t xml:space="preserve">Detection</t>
  </si>
  <si>
    <t xml:space="preserve">Mitigation</t>
  </si>
  <si>
    <t xml:space="preserve">Residual Risk</t>
  </si>
  <si>
    <t xml:space="preserve">Test Coverage</t>
  </si>
  <si>
    <t xml:space="preserve">Owner Persona</t>
  </si>
  <si>
    <t xml:space="preserve">Status</t>
  </si>
  <si>
    <t xml:space="preserve">Roadmap Item</t>
  </si>
  <si>
    <t xml:space="preserve">Notes</t>
  </si>
  <si>
    <t xml:space="preserve">F1</t>
  </si>
  <si>
    <t xml:space="preserve">Control Plane</t>
  </si>
  <si>
    <t xml:space="preserve">LLM hallucinates or returns malformed JSON</t>
  </si>
  <si>
    <t xml:space="preserve">validator_runner.py schema validation against validation_result.schema.json</t>
  </si>
  <si>
    <t xml:space="preserve">EXIT_SCHEMA_FAULT (code 3); file remains in provisional/; ledger untouched</t>
  </si>
  <si>
    <t xml:space="preserve">Low</t>
  </si>
  <si>
    <t xml:space="preserve">T4</t>
  </si>
  <si>
    <t xml:space="preserve">Backend Engineer</t>
  </si>
  <si>
    <t xml:space="preserve">Not Tested</t>
  </si>
  <si>
    <t xml:space="preserve">Item 2</t>
  </si>
  <si>
    <t xml:space="preserve">F2</t>
  </si>
  <si>
    <t xml:space="preserve">Context drift: model swap, temperature change, or policy update renders cached evaluations stale</t>
  </si>
  <si>
    <t xml:space="preserve">Context digest mismatch on next pipeline run</t>
  </si>
  <si>
    <t xml:space="preserve">Automatic cache invalidation; all pending files re-enter evaluation queue</t>
  </si>
  <si>
    <t xml:space="preserve">Medium</t>
  </si>
  <si>
    <t xml:space="preserve">T6</t>
  </si>
  <si>
    <t xml:space="preserve">Data Engineer</t>
  </si>
  <si>
    <t xml:space="preserve">Item 3</t>
  </si>
  <si>
    <t xml:space="preserve">Temporary spike in API costs during mass re-evaluation</t>
  </si>
  <si>
    <t xml:space="preserve">F3</t>
  </si>
  <si>
    <t xml:space="preserve">Stale PR: human reviewer closes/declines an automated PR without merging</t>
  </si>
  <si>
    <t xml:space="preserve">Gitea API state check (state=closed, merged=false)</t>
  </si>
  <si>
    <t xml:space="preserve">Ledger marked declined_by_human; file skipped until document_hash or context_digest changes</t>
  </si>
  <si>
    <t xml:space="preserve">T7</t>
  </si>
  <si>
    <t xml:space="preserve">DevOps</t>
  </si>
  <si>
    <t xml:space="preserve">Item 5</t>
  </si>
  <si>
    <t xml:space="preserve">F4</t>
  </si>
  <si>
    <t xml:space="preserve">Identity collision: two files produce the same transaction key</t>
  </si>
  <si>
    <t xml:space="preserve">Canonical key structure: source_id + repo_relative_path + doc_hash + context_digest</t>
  </si>
  <si>
    <t xml:space="preserve">Collision probability negligible (SHA256 space)</t>
  </si>
  <si>
    <t xml:space="preserve">Negligible</t>
  </si>
  <si>
    <t xml:space="preserve">T8</t>
  </si>
  <si>
    <t xml:space="preserve">Item 1</t>
  </si>
  <si>
    <t xml:space="preserve">F5</t>
  </si>
  <si>
    <t xml:space="preserve">Infrastructure</t>
  </si>
  <si>
    <t xml:space="preserve">Gitea API is unreachable (network failure, server down)</t>
  </si>
  <si>
    <t xml:space="preserve">HTTP error / timeout in Promote-ToVerified.ps1</t>
  </si>
  <si>
    <t xml:space="preserve">Full local workspace rollback; SYSTEM_FAULT logged; transaction retries on next run</t>
  </si>
  <si>
    <t xml:space="preserve">Low (zero data loss)</t>
  </si>
  <si>
    <t xml:space="preserve">T5</t>
  </si>
  <si>
    <t xml:space="preserve">Draft remains in provisional/, no partial state</t>
  </si>
  <si>
    <t xml:space="preserve">F6</t>
  </si>
  <si>
    <t xml:space="preserve">LLM provider API is unreachable or rate-limited</t>
  </si>
  <si>
    <t xml:space="preserve">HTTP 429/5xx or timeout in validator_runner.py</t>
  </si>
  <si>
    <t xml:space="preserve">EXIT_SYSTEM_FAULT (code 4); file remains in provisional/; retry on next pipeline run</t>
  </si>
  <si>
    <t xml:space="preserve">Evaluation deferred, not lost</t>
  </si>
  <si>
    <t xml:space="preserve">F7</t>
  </si>
  <si>
    <t xml:space="preserve">Pipeline interruption mid-promotion (power loss, process kill)</t>
  </si>
  <si>
    <t xml:space="preserve">Startup reconciliation in Run-Validator.ps1 detects orphaned state</t>
  </si>
  <si>
    <t xml:space="preserve">Reconcile stale pending_pr entries; clean orphaned branches; restore workspace to main</t>
  </si>
  <si>
    <t xml:space="preserve">Idempotent retry design</t>
  </si>
  <si>
    <t xml:space="preserve">F8</t>
  </si>
  <si>
    <t xml:space="preserve">External ledger corruption or unauthorized modification</t>
  </si>
  <si>
    <t xml:space="preserve">Integrity mismatch between ledger state and Git/Gitea state</t>
  </si>
  <si>
    <t xml:space="preserve">ACL restrictions on C:\llm-wiki-state\; pipeline service account only</t>
  </si>
  <si>
    <t xml:space="preserve">—</t>
  </si>
  <si>
    <t xml:space="preserve">No cryptographic integrity check in v1; consider P1 enhancement</t>
  </si>
  <si>
    <t xml:space="preserve">F9</t>
  </si>
  <si>
    <t xml:space="preserve">Security</t>
  </si>
  <si>
    <t xml:space="preserve">Frontmatter injection: malicious source_id or oversized values in provisional file</t>
  </si>
  <si>
    <t xml:space="preserve">parse_identity.py enforcement layer: restricted identifier regex + 256-byte cap</t>
  </si>
  <si>
    <t xml:space="preserve">Structured error JSON returned; SYSTEM_FAULT exit; file never reaches LLM</t>
  </si>
  <si>
    <t xml:space="preserve">Injection blocked at parser boundary</t>
  </si>
  <si>
    <t xml:space="preserve">F10</t>
  </si>
  <si>
    <t xml:space="preserve">Gitea API token compromise</t>
  </si>
  <si>
    <t xml:space="preserve">Anomalous PR creation patterns in audit logs</t>
  </si>
  <si>
    <t xml:space="preserve">Token stored in secrets manager with documented rotation cadence; scoped to minimum permissions</t>
  </si>
  <si>
    <t xml:space="preserve">Compromised token can create PRs but cannot merge (branch protection)</t>
  </si>
  <si>
    <t xml:space="preserve">F11</t>
  </si>
  <si>
    <t xml:space="preserve">Server-side Gitea policy drift (branch protection changed without pipeline awareness)</t>
  </si>
  <si>
    <t xml:space="preserve">Not detected by local context digest (documented limitation)</t>
  </si>
  <si>
    <t xml:space="preserve">Documented in runbook; periodic Gitea API config check recommended as P1 enhancement</t>
  </si>
  <si>
    <t xml:space="preserve">Accepted risk with documented limitation</t>
  </si>
  <si>
    <t xml:space="preserve">F12</t>
  </si>
  <si>
    <t xml:space="preserve">Model &amp; Inference</t>
  </si>
  <si>
    <t xml:space="preserve">Token overflow: policy_bundle + article exceeds model context window</t>
  </si>
  <si>
    <t xml:space="preserve">Pre-send token count in validator_runner.py</t>
  </si>
  <si>
    <t xml:space="preserve">EXIT_TOKEN_OVERFLOW (code 5); file skipped for evaluation; logged for manual review</t>
  </si>
  <si>
    <t xml:space="preserve">AI/ML Architect</t>
  </si>
  <si>
    <t xml:space="preserve">Item 4d</t>
  </si>
  <si>
    <t xml:space="preserve">Detected before API call, no wasted cost</t>
  </si>
  <si>
    <t xml:space="preserve">F13</t>
  </si>
  <si>
    <t xml:space="preserve">Parity divergence: managed and self-hosted models produce incompatible decisions on same content</t>
  </si>
  <si>
    <t xml:space="preserve">Runtime parity harness on golden corpus</t>
  </si>
  <si>
    <t xml:space="preserve">Self-hosted path does not activate until agreement threshold met; fallback produces new evaluation under managed config, path recorded in ledger</t>
  </si>
  <si>
    <t xml:space="preserve">4f</t>
  </si>
  <si>
    <t xml:space="preserve">Item 4f</t>
  </si>
  <si>
    <t xml:space="preserve">Gated by parity harness</t>
  </si>
  <si>
    <t xml:space="preserve">F14</t>
  </si>
  <si>
    <t xml:space="preserve">Quantization quality regression: Q4 model drops below acceptable decision accuracy</t>
  </si>
  <si>
    <t xml:space="preserve">Golden corpus agreement rate vs. FP16 baseline</t>
  </si>
  <si>
    <t xml:space="preserve">Quantization evaluation matrix (Item 7c) gates deployment; fall back to higher precision or managed API</t>
  </si>
  <si>
    <t xml:space="preserve">7c</t>
  </si>
  <si>
    <t xml:space="preserve">Item 7c</t>
  </si>
  <si>
    <t xml:space="preserve">Quality loss is gradual</t>
  </si>
  <si>
    <t xml:space="preserve">F15</t>
  </si>
  <si>
    <t xml:space="preserve">Self-hosted GPU OOM: KV cache exhausted during concurrent evaluations</t>
  </si>
  <si>
    <t xml:space="preserve">CUDA OOM error in serving stack (vLLM/TGI)</t>
  </si>
  <si>
    <t xml:space="preserve">Concurrency ceiling enforced via semaphore; overflow requests queued or routed to managed API fallback</t>
  </si>
  <si>
    <t xml:space="preserve">Bounded by serving stack configuration</t>
  </si>
  <si>
    <t xml:space="preserve">F16</t>
  </si>
  <si>
    <t xml:space="preserve">Tokenizer mismatch: managed and self-hosted models tokenize same document differently</t>
  </si>
  <si>
    <t xml:space="preserve">Parity harness catches decision divergence; token count discrepancy logged</t>
  </si>
  <si>
    <t xml:space="preserve">validator_config.json specifies tokenizer per model path; budget uses active model's tokenizer</t>
  </si>
  <si>
    <t xml:space="preserve">Mitigated by model-specific tokenizer binding</t>
  </si>
  <si>
    <t xml:space="preserve">F17</t>
  </si>
  <si>
    <t xml:space="preserve">LoRA adapter merge corruption: fine-tuned adapter produces degenerate outputs after merge</t>
  </si>
  <si>
    <t xml:space="preserve">Post-merge parity harness on holdout set (LATER phase)</t>
  </si>
  <si>
    <t xml:space="preserve">Parity harness must pass before merged model enters production; rollback to pre-merge checkpoint</t>
  </si>
  <si>
    <t xml:space="preserve">Item 12</t>
  </si>
  <si>
    <t xml:space="preserve">Requires holdout set discipline</t>
  </si>
  <si>
    <t xml:space="preserve">FMEA Risk Heat Map Summary</t>
  </si>
  <si>
    <t xml:space="preserve">Residual Risk Level</t>
  </si>
  <si>
    <t xml:space="preserve">Count</t>
  </si>
  <si>
    <t xml:space="preserve">Failure IDs</t>
  </si>
  <si>
    <t xml:space="preserve">F1, F3, F6, F7, F9, F12, F13, F15, F16</t>
  </si>
  <si>
    <t xml:space="preserve">F2, F8, F10, F11, F14, F17</t>
  </si>
  <si>
    <t xml:space="preserve">High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</si>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</sst>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4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customFormat="false" ht="54.75" hidden="false" customHeight="true" outlineLevel="0" collapsed="false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4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K3" s="2" t="s">
        <v>29</v>
      </c>
    </row>
    <row r="4" customFormat="false" ht="54.75" hidden="false" customHeight="true" outlineLevel="0" collapsed="false">
      <c r="A4" s="2" t="s">
        <v>30</v>
      </c>
      <c r="B4" s="2" t="s">
        <v>12</v>
      </c>
      <c r="C4" s="2" t="s">
        <v>31</v>
      </c>
      <c r="D4" s="2" t="s">
        <v>32</v>
      </c>
      <c r="E4" s="2" t="s">
        <v>33</v>
      </c>
      <c r="F4" s="3" t="s">
        <v>16</v>
      </c>
      <c r="G4" s="2" t="s">
        <v>34</v>
      </c>
      <c r="H4" s="2" t="s">
        <v>35</v>
      </c>
      <c r="I4" s="2" t="s">
        <v>19</v>
      </c>
      <c r="J4" s="2" t="s">
        <v>36</v>
      </c>
      <c r="K4" s="2"/>
    </row>
    <row r="5" customFormat="false" ht="54.75" hidden="false" customHeight="true" outlineLevel="0" collapsed="false">
      <c r="A5" s="2" t="s">
        <v>37</v>
      </c>
      <c r="B5" s="2" t="s">
        <v>12</v>
      </c>
      <c r="C5" s="2" t="s">
        <v>38</v>
      </c>
      <c r="D5" s="2" t="s">
        <v>39</v>
      </c>
      <c r="E5" s="2" t="s">
        <v>40</v>
      </c>
      <c r="F5" s="5" t="s">
        <v>41</v>
      </c>
      <c r="G5" s="2" t="s">
        <v>42</v>
      </c>
      <c r="H5" s="2" t="s">
        <v>27</v>
      </c>
      <c r="I5" s="2" t="s">
        <v>19</v>
      </c>
      <c r="J5" s="2" t="s">
        <v>43</v>
      </c>
      <c r="K5" s="2"/>
    </row>
    <row r="6" customFormat="false" ht="54.75" hidden="false" customHeight="true" outlineLevel="0" collapsed="false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3" t="s">
        <v>49</v>
      </c>
      <c r="G6" s="2" t="s">
        <v>50</v>
      </c>
      <c r="H6" s="2" t="s">
        <v>35</v>
      </c>
      <c r="I6" s="2" t="s">
        <v>19</v>
      </c>
      <c r="J6" s="2" t="s">
        <v>36</v>
      </c>
      <c r="K6" s="2" t="s">
        <v>51</v>
      </c>
    </row>
    <row r="7" customFormat="false" ht="54.75" hidden="false" customHeight="true" outlineLevel="0" collapsed="false">
      <c r="A7" s="2" t="s">
        <v>52</v>
      </c>
      <c r="B7" s="2" t="s">
        <v>45</v>
      </c>
      <c r="C7" s="2" t="s">
        <v>53</v>
      </c>
      <c r="D7" s="2" t="s">
        <v>54</v>
      </c>
      <c r="E7" s="2" t="s">
        <v>55</v>
      </c>
      <c r="F7" s="3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56</v>
      </c>
    </row>
    <row r="8" customFormat="false" ht="54.75" hidden="false" customHeight="true" outlineLevel="0" collapsed="false">
      <c r="A8" s="2" t="s">
        <v>57</v>
      </c>
      <c r="B8" s="2" t="s">
        <v>45</v>
      </c>
      <c r="C8" s="2" t="s">
        <v>58</v>
      </c>
      <c r="D8" s="2" t="s">
        <v>59</v>
      </c>
      <c r="E8" s="2" t="s">
        <v>60</v>
      </c>
      <c r="F8" s="3" t="s">
        <v>16</v>
      </c>
      <c r="G8" s="2" t="s">
        <v>50</v>
      </c>
      <c r="H8" s="2" t="s">
        <v>27</v>
      </c>
      <c r="I8" s="2" t="s">
        <v>19</v>
      </c>
      <c r="J8" s="2" t="s">
        <v>28</v>
      </c>
      <c r="K8" s="2" t="s">
        <v>61</v>
      </c>
    </row>
    <row r="9" customFormat="false" ht="54.75" hidden="false" customHeight="true" outlineLevel="0" collapsed="false">
      <c r="A9" s="2" t="s">
        <v>62</v>
      </c>
      <c r="B9" s="2" t="s">
        <v>45</v>
      </c>
      <c r="C9" s="2" t="s">
        <v>63</v>
      </c>
      <c r="D9" s="2" t="s">
        <v>64</v>
      </c>
      <c r="E9" s="2" t="s">
        <v>65</v>
      </c>
      <c r="F9" s="4" t="s">
        <v>25</v>
      </c>
      <c r="G9" s="2" t="s">
        <v>66</v>
      </c>
      <c r="H9" s="2" t="s">
        <v>35</v>
      </c>
      <c r="I9" s="2" t="s">
        <v>19</v>
      </c>
      <c r="J9" s="2" t="s">
        <v>66</v>
      </c>
      <c r="K9" s="2" t="s">
        <v>67</v>
      </c>
    </row>
    <row r="10" customFormat="false" ht="54.75" hidden="false" customHeight="true" outlineLevel="0" collapsed="false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3" t="s">
        <v>16</v>
      </c>
      <c r="G10" s="2" t="s">
        <v>42</v>
      </c>
      <c r="H10" s="2" t="s">
        <v>27</v>
      </c>
      <c r="I10" s="2" t="s">
        <v>19</v>
      </c>
      <c r="J10" s="2" t="s">
        <v>43</v>
      </c>
      <c r="K10" s="2" t="s">
        <v>73</v>
      </c>
    </row>
    <row r="11" customFormat="false" ht="54.75" hidden="false" customHeight="true" outlineLevel="0" collapsed="false">
      <c r="A11" s="2" t="s">
        <v>74</v>
      </c>
      <c r="B11" s="2" t="s">
        <v>69</v>
      </c>
      <c r="C11" s="2" t="s">
        <v>75</v>
      </c>
      <c r="D11" s="2" t="s">
        <v>76</v>
      </c>
      <c r="E11" s="2" t="s">
        <v>77</v>
      </c>
      <c r="F11" s="4" t="s">
        <v>25</v>
      </c>
      <c r="G11" s="2" t="s">
        <v>66</v>
      </c>
      <c r="H11" s="2" t="s">
        <v>35</v>
      </c>
      <c r="I11" s="2" t="s">
        <v>19</v>
      </c>
      <c r="J11" s="2" t="s">
        <v>66</v>
      </c>
      <c r="K11" s="2" t="s">
        <v>78</v>
      </c>
    </row>
    <row r="12" customFormat="false" ht="54.75" hidden="false" customHeight="true" outlineLevel="0" collapsed="false">
      <c r="A12" s="2" t="s">
        <v>79</v>
      </c>
      <c r="B12" s="2" t="s">
        <v>69</v>
      </c>
      <c r="C12" s="2" t="s">
        <v>80</v>
      </c>
      <c r="D12" s="2" t="s">
        <v>81</v>
      </c>
      <c r="E12" s="2" t="s">
        <v>82</v>
      </c>
      <c r="F12" s="4" t="s">
        <v>25</v>
      </c>
      <c r="G12" s="2" t="s">
        <v>66</v>
      </c>
      <c r="H12" s="2" t="s">
        <v>35</v>
      </c>
      <c r="I12" s="2" t="s">
        <v>19</v>
      </c>
      <c r="J12" s="2" t="s">
        <v>66</v>
      </c>
      <c r="K12" s="2" t="s">
        <v>83</v>
      </c>
    </row>
    <row r="13" customFormat="false" ht="54.75" hidden="false" customHeight="true" outlineLevel="0" collapsed="false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16</v>
      </c>
      <c r="G13" s="2" t="s">
        <v>17</v>
      </c>
      <c r="H13" s="2" t="s">
        <v>89</v>
      </c>
      <c r="I13" s="2" t="s">
        <v>19</v>
      </c>
      <c r="J13" s="2" t="s">
        <v>90</v>
      </c>
      <c r="K13" s="2" t="s">
        <v>91</v>
      </c>
    </row>
    <row r="14" customFormat="false" ht="54.75" hidden="false" customHeight="true" outlineLevel="0" collapsed="false">
      <c r="A14" s="2" t="s">
        <v>92</v>
      </c>
      <c r="B14" s="2" t="s">
        <v>85</v>
      </c>
      <c r="C14" s="2" t="s">
        <v>93</v>
      </c>
      <c r="D14" s="2" t="s">
        <v>94</v>
      </c>
      <c r="E14" s="2" t="s">
        <v>95</v>
      </c>
      <c r="F14" s="3" t="s">
        <v>16</v>
      </c>
      <c r="G14" s="2" t="s">
        <v>96</v>
      </c>
      <c r="H14" s="2" t="s">
        <v>89</v>
      </c>
      <c r="I14" s="2" t="s">
        <v>19</v>
      </c>
      <c r="J14" s="2" t="s">
        <v>97</v>
      </c>
      <c r="K14" s="2" t="s">
        <v>98</v>
      </c>
    </row>
    <row r="15" customFormat="false" ht="54.75" hidden="false" customHeight="true" outlineLevel="0" collapsed="false">
      <c r="A15" s="2" t="s">
        <v>99</v>
      </c>
      <c r="B15" s="2" t="s">
        <v>85</v>
      </c>
      <c r="C15" s="2" t="s">
        <v>100</v>
      </c>
      <c r="D15" s="2" t="s">
        <v>101</v>
      </c>
      <c r="E15" s="2" t="s">
        <v>102</v>
      </c>
      <c r="F15" s="4" t="s">
        <v>25</v>
      </c>
      <c r="G15" s="2" t="s">
        <v>103</v>
      </c>
      <c r="H15" s="2" t="s">
        <v>89</v>
      </c>
      <c r="I15" s="2" t="s">
        <v>19</v>
      </c>
      <c r="J15" s="2" t="s">
        <v>104</v>
      </c>
      <c r="K15" s="2" t="s">
        <v>105</v>
      </c>
    </row>
    <row r="16" customFormat="false" ht="54.75" hidden="false" customHeight="true" outlineLevel="0" collapsed="false">
      <c r="A16" s="2" t="s">
        <v>106</v>
      </c>
      <c r="B16" s="2" t="s">
        <v>85</v>
      </c>
      <c r="C16" s="2" t="s">
        <v>107</v>
      </c>
      <c r="D16" s="2" t="s">
        <v>108</v>
      </c>
      <c r="E16" s="2" t="s">
        <v>109</v>
      </c>
      <c r="F16" s="3" t="s">
        <v>16</v>
      </c>
      <c r="G16" s="2" t="s">
        <v>96</v>
      </c>
      <c r="H16" s="2" t="s">
        <v>89</v>
      </c>
      <c r="I16" s="2" t="s">
        <v>19</v>
      </c>
      <c r="J16" s="2" t="s">
        <v>97</v>
      </c>
      <c r="K16" s="2" t="s">
        <v>110</v>
      </c>
    </row>
    <row r="17" customFormat="false" ht="54.75" hidden="false" customHeight="true" outlineLevel="0" collapsed="false">
      <c r="A17" s="2" t="s">
        <v>111</v>
      </c>
      <c r="B17" s="2" t="s">
        <v>85</v>
      </c>
      <c r="C17" s="2" t="s">
        <v>112</v>
      </c>
      <c r="D17" s="2" t="s">
        <v>113</v>
      </c>
      <c r="E17" s="2" t="s">
        <v>114</v>
      </c>
      <c r="F17" s="3" t="s">
        <v>16</v>
      </c>
      <c r="G17" s="2" t="s">
        <v>96</v>
      </c>
      <c r="H17" s="2" t="s">
        <v>89</v>
      </c>
      <c r="I17" s="2" t="s">
        <v>19</v>
      </c>
      <c r="J17" s="2" t="s">
        <v>90</v>
      </c>
      <c r="K17" s="2" t="s">
        <v>115</v>
      </c>
    </row>
    <row r="18" customFormat="false" ht="54.75" hidden="false" customHeight="true" outlineLevel="0" collapsed="false">
      <c r="A18" s="2" t="s">
        <v>116</v>
      </c>
      <c r="B18" s="2" t="s">
        <v>85</v>
      </c>
      <c r="C18" s="2" t="s">
        <v>117</v>
      </c>
      <c r="D18" s="2" t="s">
        <v>118</v>
      </c>
      <c r="E18" s="2" t="s">
        <v>119</v>
      </c>
      <c r="F18" s="4" t="s">
        <v>25</v>
      </c>
      <c r="G18" s="2" t="s">
        <v>66</v>
      </c>
      <c r="H18" s="2" t="s">
        <v>89</v>
      </c>
      <c r="I18" s="2" t="s">
        <v>19</v>
      </c>
      <c r="J18" s="2" t="s">
        <v>120</v>
      </c>
      <c r="K18" s="2" t="s">
        <v>121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6" t="s">
        <v>122</v>
      </c>
      <c r="B1" s="6"/>
      <c r="C1" s="6"/>
    </row>
    <row r="3" customFormat="false" ht="15" hidden="false" customHeight="false" outlineLevel="0" collapsed="false">
      <c r="A3" s="7" t="s">
        <v>123</v>
      </c>
      <c r="B3" s="7" t="s">
        <v>124</v>
      </c>
      <c r="C3" s="7" t="s">
        <v>125</v>
      </c>
    </row>
    <row r="4" customFormat="false" ht="15" hidden="false" customHeight="false" outlineLevel="0" collapsed="false">
      <c r="A4" s="8" t="s">
        <v>41</v>
      </c>
      <c r="B4" s="9" t="n">
        <f aca="false">COUNTIF('FMEA Tracker'!F2:F100,"Negligible")</f>
        <v>1</v>
      </c>
      <c r="C4" s="10" t="s">
        <v>37</v>
      </c>
    </row>
    <row r="5" customFormat="false" ht="15" hidden="false" customHeight="false" outlineLevel="0" collapsed="false">
      <c r="A5" s="11" t="s">
        <v>16</v>
      </c>
      <c r="B5" s="9" t="n">
        <f aca="false">COUNTIFS('FMEA Tracker'!F2:F100,"Low*")</f>
        <v>10</v>
      </c>
      <c r="C5" s="10" t="s">
        <v>126</v>
      </c>
    </row>
    <row r="6" customFormat="false" ht="15" hidden="false" customHeight="false" outlineLevel="0" collapsed="false">
      <c r="A6" s="12" t="s">
        <v>25</v>
      </c>
      <c r="B6" s="9" t="n">
        <f aca="false">COUNTIF('FMEA Tracker'!F2:F100,"Medium")</f>
        <v>6</v>
      </c>
      <c r="C6" s="10" t="s">
        <v>127</v>
      </c>
    </row>
    <row r="7" customFormat="false" ht="15" hidden="false" customHeight="false" outlineLevel="0" collapsed="false">
      <c r="A7" s="13" t="s">
        <v>128</v>
      </c>
      <c r="B7" s="9" t="n">
        <f aca="false">COUNTIF('FMEA Tracker'!F2:F100,"High")</f>
        <v>0</v>
      </c>
      <c r="C7" s="10" t="s">
        <v>129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2026-04-06T05:18:43Z</dcterms:created>
  <dc:creator>openpyxl</dc:creator>
  <dc:description/>
  <dc:language>en-US</dc:language>
  <cp:lastModifiedBy/>
  <dcterms:modified xsi:type="dcterms:W3CDTF">2026-04-06T05:18:43Z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