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lden Corpus" sheetId="1" state="visible" r:id="rId3"/>
    <sheet name="Ledger Retention" sheetId="2" state="visible" r:id="rId4"/>
    <sheet name="Pipeline Metrics" sheetId="3" state="visible" r:id="rId5"/>
    <sheet name="Parity Results" sheetId="4" state="visible" r:id="rId6"/>
  </sheets>
  <definedNames>
    <definedName function="false" hidden="true" localSheetId="0" name="_xlnm._FilterDatabase" vbProcedure="false">'Golden Corpus'!$A$1:$I$1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<sst xmlns="http://schemas.openxmlformats.org/spreadsheetml/2006/main" count="279" uniqueCount="158">
  <si>
    <t xml:space="preserve">Category</t>
  </si>
  <si>
    <t xml:space="preserve">Subcategory</t>
  </si>
  <si>
    <t xml:space="preserve">Phase</t>
  </si>
  <si>
    <t xml:space="preserve">Count Target</t>
  </si>
  <si>
    <t xml:space="preserve">Count Actual</t>
  </si>
  <si>
    <t xml:space="preserve">Coverage %</t>
  </si>
  <si>
    <t xml:space="preserve">Source</t>
  </si>
  <si>
    <t xml:space="preserve">Status</t>
  </si>
  <si>
    <t xml:space="preserve">Notes</t>
  </si>
  <si>
    <t xml:space="preserve">Approve decisions</t>
  </si>
  <si>
    <t xml:space="preserve">Clean articles meeting all policy criteria</t>
  </si>
  <si>
    <t xml:space="preserve">Phase 0</t>
  </si>
  <si>
    <t xml:space="preserve">Manual curation</t>
  </si>
  <si>
    <t xml:space="preserve">Not Started</t>
  </si>
  <si>
    <t xml:space="preserve">Reject decisions</t>
  </si>
  <si>
    <t xml:space="preserve">Policy-violating articles</t>
  </si>
  <si>
    <t xml:space="preserve">Escalate decisions</t>
  </si>
  <si>
    <t xml:space="preserve">Ambiguous cases where human escalation is correct</t>
  </si>
  <si>
    <t xml:space="preserve">Malformed frontmatter</t>
  </si>
  <si>
    <t xml:space="preserve">Missing source_id</t>
  </si>
  <si>
    <t xml:space="preserve">Synthetic</t>
  </si>
  <si>
    <t xml:space="preserve">Invalid YAML</t>
  </si>
  <si>
    <t xml:space="preserve">BOM variants (UTF-8 BOM, no BOM)</t>
  </si>
  <si>
    <t xml:space="preserve">Policy conflicts</t>
  </si>
  <si>
    <t xml:space="preserve">Article contradicts policy bundle rules</t>
  </si>
  <si>
    <t xml:space="preserve">Factual contradictions</t>
  </si>
  <si>
    <t xml:space="preserve">Internally inconsistent claims</t>
  </si>
  <si>
    <t xml:space="preserve">Incomplete articles</t>
  </si>
  <si>
    <t xml:space="preserve">Missing sections, truncated content</t>
  </si>
  <si>
    <t xml:space="preserve">Token overflow</t>
  </si>
  <si>
    <t xml:space="preserve">Articles at 95%+ of context window</t>
  </si>
  <si>
    <t xml:space="preserve">Context digest change</t>
  </si>
  <si>
    <t xml:space="preserve">Same content under different context digests</t>
  </si>
  <si>
    <t xml:space="preserve">Policy change simulation</t>
  </si>
  <si>
    <t xml:space="preserve">Adversarial injection</t>
  </si>
  <si>
    <t xml:space="preserve">Oversized source_id (&gt;36 chars)</t>
  </si>
  <si>
    <t xml:space="preserve">Prompt injection in source_id</t>
  </si>
  <si>
    <t xml:space="preserve">Frontmatter values exceeding 256-byte cap</t>
  </si>
  <si>
    <t xml:space="preserve">Multi-language content</t>
  </si>
  <si>
    <t xml:space="preserve">Non-English articles</t>
  </si>
  <si>
    <t xml:space="preserve">Edge-case Unicode</t>
  </si>
  <si>
    <t xml:space="preserve">Special characters, RTL text, zero-width chars</t>
  </si>
  <si>
    <t xml:space="preserve">Approve/reject boundary</t>
  </si>
  <si>
    <t xml:space="preserve">Articles that straddle the approve/reject line</t>
  </si>
  <si>
    <t xml:space="preserve">Production: merged PRs</t>
  </si>
  <si>
    <t xml:space="preserve">Human-reviewed real drafts (positive signal)</t>
  </si>
  <si>
    <t xml:space="preserve">Phase 1</t>
  </si>
  <si>
    <t xml:space="preserve">Live pipeline</t>
  </si>
  <si>
    <t xml:space="preserve">Merged PR = approve decision correct</t>
  </si>
  <si>
    <t xml:space="preserve">Production: declined PRs</t>
  </si>
  <si>
    <t xml:space="preserve">Human-declined real drafts (negative signal)</t>
  </si>
  <si>
    <t xml:space="preserve">Declined PR = approve decision wrong</t>
  </si>
  <si>
    <t xml:space="preserve">Rolling holdout</t>
  </si>
  <si>
    <t xml:space="preserve">Frozen evaluation slice (quarterly refresh)</t>
  </si>
  <si>
    <t xml:space="preserve">Phase 2</t>
  </si>
  <si>
    <t xml:space="preserve">Production corpus</t>
  </si>
  <si>
    <t xml:space="preserve">Never used for tuning; immutable parity benchmark</t>
  </si>
  <si>
    <t xml:space="preserve">Field</t>
  </si>
  <si>
    <t xml:space="preserve">Content</t>
  </si>
  <si>
    <t xml:space="preserve">Training Use</t>
  </si>
  <si>
    <t xml:space="preserve">Required From</t>
  </si>
  <si>
    <t xml:space="preserve">Collection Status</t>
  </si>
  <si>
    <t xml:space="preserve">transaction_key</t>
  </si>
  <si>
    <t xml:space="preserve">Canonical key (source_id + path + hash + digest)</t>
  </si>
  <si>
    <t xml:space="preserve">Deduplication and lineage</t>
  </si>
  <si>
    <t xml:space="preserve">Day 1</t>
  </si>
  <si>
    <t xml:space="preserve">Not Collecting</t>
  </si>
  <si>
    <t xml:space="preserve">P0-14 requirement</t>
  </si>
  <si>
    <t xml:space="preserve">model_config_snapshot</t>
  </si>
  <si>
    <t xml:space="preserve">Full validator_config.json at evaluation time</t>
  </si>
  <si>
    <t xml:space="preserve">Attribute outcomes to specific model configurations</t>
  </si>
  <si>
    <t xml:space="preserve">full_model_output</t>
  </si>
  <si>
    <t xml:space="preserve">Complete LLM response (not just approve/reject)</t>
  </si>
  <si>
    <t xml:space="preserve">Input for LoRA supervised fine-tuning</t>
  </si>
  <si>
    <t xml:space="preserve">schema_validated_result</t>
  </si>
  <si>
    <t xml:space="preserve">Parsed evaluation against validation_result.schema.json</t>
  </si>
  <si>
    <t xml:space="preserve">Structured labels for training</t>
  </si>
  <si>
    <t xml:space="preserve">reviewer_outcome</t>
  </si>
  <si>
    <t xml:space="preserve">merged, declined, or pending (updated async after PR review)</t>
  </si>
  <si>
    <t xml:space="preserve">Preference signal for DPO pairs</t>
  </si>
  <si>
    <t xml:space="preserve">Updated async after PR review</t>
  </si>
  <si>
    <t xml:space="preserve">reviewer_timestamp</t>
  </si>
  <si>
    <t xml:space="preserve">When the PR was merged or declined</t>
  </si>
  <si>
    <t xml:space="preserve">Temporal ordering for holdout splits</t>
  </si>
  <si>
    <t xml:space="preserve">article_token_count</t>
  </si>
  <si>
    <t xml:space="preserve">Token count under the active tokenizer</t>
  </si>
  <si>
    <t xml:space="preserve">Filter training data by document length characteristics</t>
  </si>
  <si>
    <t xml:space="preserve">Metric</t>
  </si>
  <si>
    <t xml:space="preserve">Target</t>
  </si>
  <si>
    <t xml:space="preserve">Current Value</t>
  </si>
  <si>
    <t xml:space="preserve">Measurement Method</t>
  </si>
  <si>
    <t xml:space="preserve">Frequency</t>
  </si>
  <si>
    <t xml:space="preserve">100% of provisional/ files evaluated within 24h of commit</t>
  </si>
  <si>
    <t xml:space="preserve">Leading</t>
  </si>
  <si>
    <t xml:space="preserve">100%</t>
  </si>
  <si>
    <t xml:space="preserve">Ledger timestamp vs. git commit timestamp</t>
  </si>
  <si>
    <t xml:space="preserve">Per run</t>
  </si>
  <si>
    <t xml:space="preserve">Not Measuring</t>
  </si>
  <si>
    <t xml:space="preserve">Zero orphaned branches or duplicate PRs after 50 consecutive retry tests</t>
  </si>
  <si>
    <t xml:space="preserve">0</t>
  </si>
  <si>
    <t xml:space="preserve">Test suite assertion (T5)</t>
  </si>
  <si>
    <t xml:space="preserve">Per test run</t>
  </si>
  <si>
    <t xml:space="preserve">100% re-evaluation after any context digest change</t>
  </si>
  <si>
    <t xml:space="preserve">Ledger re-evaluation count post-digest rotation</t>
  </si>
  <si>
    <t xml:space="preserve">Per digest change</t>
  </si>
  <si>
    <t xml:space="preserve">Median draft-to-PR time under 5 minutes</t>
  </si>
  <si>
    <t xml:space="preserve">&lt;5 min</t>
  </si>
  <si>
    <t xml:space="preserve">Ledger: evaluation_start to PR creation timestamp</t>
  </si>
  <si>
    <t xml:space="preserve">Weekly</t>
  </si>
  <si>
    <t xml:space="preserve">60% reduction in SME review hours within 90 days</t>
  </si>
  <si>
    <t xml:space="preserve">Lagging</t>
  </si>
  <si>
    <t xml:space="preserve">-60%</t>
  </si>
  <si>
    <t xml:space="preserve">Baseline SME hours vs. post-pipeline hours</t>
  </si>
  <si>
    <t xml:space="preserve">Monthly</t>
  </si>
  <si>
    <t xml:space="preserve">Requires baseline measurement</t>
  </si>
  <si>
    <t xml:space="preserve">Fewer than 5% of auto-promoted articles require post-merge correction</t>
  </si>
  <si>
    <t xml:space="preserve">&lt;5%</t>
  </si>
  <si>
    <t xml:space="preserve">Post-merge correction count / total auto-promoted</t>
  </si>
  <si>
    <t xml:space="preserve">99%+ successful pipeline completion rate per run</t>
  </si>
  <si>
    <t xml:space="preserve">&gt;99%</t>
  </si>
  <si>
    <t xml:space="preserve">Successful runs / total runs</t>
  </si>
  <si>
    <t xml:space="preserve">Managed vs. self-hosted decision agreement rate on golden corpus</t>
  </si>
  <si>
    <t xml:space="preserve">Parity</t>
  </si>
  <si>
    <t xml:space="preserve">&gt;90%</t>
  </si>
  <si>
    <t xml:space="preserve">Parity harness output (Item 4f)</t>
  </si>
  <si>
    <t xml:space="preserve">Per harness run</t>
  </si>
  <si>
    <t xml:space="preserve">Threshold gates self-hosted activation</t>
  </si>
  <si>
    <t xml:space="preserve">Quantization agreement rate vs. managed API (FP16)</t>
  </si>
  <si>
    <t xml:space="preserve">&gt;95%</t>
  </si>
  <si>
    <t xml:space="preserve">Quantization evaluation (Item 7c)</t>
  </si>
  <si>
    <t xml:space="preserve">Per evaluation</t>
  </si>
  <si>
    <t xml:space="preserve">Quantization agreement rate vs. managed API (Q8)</t>
  </si>
  <si>
    <t xml:space="preserve">Quantization agreement rate vs. managed API (Q4_K_M)</t>
  </si>
  <si>
    <t xml:space="preserve">Pipeline heartbeat frequency</t>
  </si>
  <si>
    <t xml:space="preserve">Observability</t>
  </si>
  <si>
    <t xml:space="preserve">JSONL heartbeat entries in pipeline.log</t>
  </si>
  <si>
    <t xml:space="preserve">Item 4c</t>
  </si>
  <si>
    <t xml:space="preserve">SYSTEM_FAULT exit frequency</t>
  </si>
  <si>
    <t xml:space="preserve">JSONL error log entries</t>
  </si>
  <si>
    <t xml:space="preserve">SCHEMA_FAULT exit frequency</t>
  </si>
  <si>
    <t xml:space="preserve">Ledger SCHEMA_FAULT entries</t>
  </si>
  <si>
    <t xml:space="preserve">TOKEN_OVERFLOW file count</t>
  </si>
  <si>
    <t xml:space="preserve">Track</t>
  </si>
  <si>
    <t xml:space="preserve">Ledger TOKEN_OVERFLOW entries</t>
  </si>
  <si>
    <t xml:space="preserve">Files needing manual review or chunking</t>
  </si>
  <si>
    <t xml:space="preserve">Fallback-to-managed frequency</t>
  </si>
  <si>
    <t xml:space="preserve">Ledger entries with fallback_from field</t>
  </si>
  <si>
    <t xml:space="preserve">Indicates self-hosted reliability</t>
  </si>
  <si>
    <t xml:space="preserve">Run Date</t>
  </si>
  <si>
    <t xml:space="preserve">Golden Corpus Version</t>
  </si>
  <si>
    <t xml:space="preserve">Managed Model</t>
  </si>
  <si>
    <t xml:space="preserve">Self-Hosted Model</t>
  </si>
  <si>
    <t xml:space="preserve">Quantization</t>
  </si>
  <si>
    <t xml:space="preserve">Agree (Approve)</t>
  </si>
  <si>
    <t xml:space="preserve">Agree (Reject)</t>
  </si>
  <si>
    <t xml:space="preserve">Agree (Escalate)</t>
  </si>
  <si>
    <t xml:space="preserve">Overall Agreement</t>
  </si>
  <si>
    <t xml:space="preserve">Threshold Met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</si>
</sst>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1.5" hidden="false" customHeight="true" outlineLevel="0" collapsed="false">
      <c r="A2" s="2" t="s">
        <v>9</v>
      </c>
      <c r="B2" s="2" t="s">
        <v>10</v>
      </c>
      <c r="C2" s="2" t="s">
        <v>11</v>
      </c>
      <c r="D2" s="2"/>
      <c r="E2" s="2"/>
      <c r="F2" s="3" t="str">
        <f aca="false">IF(D2=0,"-",IF(D2="","-",E2/D2))</f>
        <v>-</v>
      </c>
      <c r="G2" s="2" t="s">
        <v>12</v>
      </c>
      <c r="H2" s="2" t="s">
        <v>13</v>
      </c>
      <c r="I2" s="2"/>
    </row>
    <row r="3" customFormat="false" ht="31.5" hidden="false" customHeight="true" outlineLevel="0" collapsed="false">
      <c r="A3" s="2" t="s">
        <v>14</v>
      </c>
      <c r="B3" s="2" t="s">
        <v>15</v>
      </c>
      <c r="C3" s="2" t="s">
        <v>11</v>
      </c>
      <c r="D3" s="2"/>
      <c r="E3" s="2"/>
      <c r="F3" s="3" t="str">
        <f aca="false">IF(D3=0,"-",IF(D3="","-",E3/D3))</f>
        <v>-</v>
      </c>
      <c r="G3" s="2" t="s">
        <v>12</v>
      </c>
      <c r="H3" s="2" t="s">
        <v>13</v>
      </c>
      <c r="I3" s="2"/>
    </row>
    <row r="4" customFormat="false" ht="31.5" hidden="false" customHeight="true" outlineLevel="0" collapsed="false">
      <c r="A4" s="2" t="s">
        <v>16</v>
      </c>
      <c r="B4" s="2" t="s">
        <v>17</v>
      </c>
      <c r="C4" s="2" t="s">
        <v>11</v>
      </c>
      <c r="D4" s="2"/>
      <c r="E4" s="2"/>
      <c r="F4" s="3" t="str">
        <f aca="false">IF(D4=0,"-",IF(D4="","-",E4/D4))</f>
        <v>-</v>
      </c>
      <c r="G4" s="2" t="s">
        <v>12</v>
      </c>
      <c r="H4" s="2" t="s">
        <v>13</v>
      </c>
      <c r="I4" s="2"/>
    </row>
    <row r="5" customFormat="false" ht="31.5" hidden="false" customHeight="true" outlineLevel="0" collapsed="false">
      <c r="A5" s="2" t="s">
        <v>18</v>
      </c>
      <c r="B5" s="2" t="s">
        <v>19</v>
      </c>
      <c r="C5" s="2" t="s">
        <v>11</v>
      </c>
      <c r="D5" s="2"/>
      <c r="E5" s="2"/>
      <c r="F5" s="3" t="str">
        <f aca="false">IF(D5=0,"-",IF(D5="","-",E5/D5))</f>
        <v>-</v>
      </c>
      <c r="G5" s="2" t="s">
        <v>20</v>
      </c>
      <c r="H5" s="2" t="s">
        <v>13</v>
      </c>
      <c r="I5" s="2"/>
    </row>
    <row r="6" customFormat="false" ht="31.5" hidden="false" customHeight="true" outlineLevel="0" collapsed="false">
      <c r="A6" s="2" t="s">
        <v>18</v>
      </c>
      <c r="B6" s="2" t="s">
        <v>21</v>
      </c>
      <c r="C6" s="2" t="s">
        <v>11</v>
      </c>
      <c r="D6" s="2"/>
      <c r="E6" s="2"/>
      <c r="F6" s="3" t="str">
        <f aca="false">IF(D6=0,"-",IF(D6="","-",E6/D6))</f>
        <v>-</v>
      </c>
      <c r="G6" s="2" t="s">
        <v>20</v>
      </c>
      <c r="H6" s="2" t="s">
        <v>13</v>
      </c>
      <c r="I6" s="2"/>
    </row>
    <row r="7" customFormat="false" ht="31.5" hidden="false" customHeight="true" outlineLevel="0" collapsed="false">
      <c r="A7" s="2" t="s">
        <v>18</v>
      </c>
      <c r="B7" s="2" t="s">
        <v>22</v>
      </c>
      <c r="C7" s="2" t="s">
        <v>11</v>
      </c>
      <c r="D7" s="2"/>
      <c r="E7" s="2"/>
      <c r="F7" s="3" t="str">
        <f aca="false">IF(D7=0,"-",IF(D7="","-",E7/D7))</f>
        <v>-</v>
      </c>
      <c r="G7" s="2" t="s">
        <v>20</v>
      </c>
      <c r="H7" s="2" t="s">
        <v>13</v>
      </c>
      <c r="I7" s="2"/>
    </row>
    <row r="8" customFormat="false" ht="31.5" hidden="false" customHeight="true" outlineLevel="0" collapsed="false">
      <c r="A8" s="2" t="s">
        <v>23</v>
      </c>
      <c r="B8" s="2" t="s">
        <v>24</v>
      </c>
      <c r="C8" s="2" t="s">
        <v>11</v>
      </c>
      <c r="D8" s="2"/>
      <c r="E8" s="2"/>
      <c r="F8" s="3" t="str">
        <f aca="false">IF(D8=0,"-",IF(D8="","-",E8/D8))</f>
        <v>-</v>
      </c>
      <c r="G8" s="2" t="s">
        <v>20</v>
      </c>
      <c r="H8" s="2" t="s">
        <v>13</v>
      </c>
      <c r="I8" s="2"/>
    </row>
    <row r="9" customFormat="false" ht="31.5" hidden="false" customHeight="true" outlineLevel="0" collapsed="false">
      <c r="A9" s="2" t="s">
        <v>25</v>
      </c>
      <c r="B9" s="2" t="s">
        <v>26</v>
      </c>
      <c r="C9" s="2" t="s">
        <v>11</v>
      </c>
      <c r="D9" s="2"/>
      <c r="E9" s="2"/>
      <c r="F9" s="3" t="str">
        <f aca="false">IF(D9=0,"-",IF(D9="","-",E9/D9))</f>
        <v>-</v>
      </c>
      <c r="G9" s="2" t="s">
        <v>20</v>
      </c>
      <c r="H9" s="2" t="s">
        <v>13</v>
      </c>
      <c r="I9" s="2"/>
    </row>
    <row r="10" customFormat="false" ht="31.5" hidden="false" customHeight="true" outlineLevel="0" collapsed="false">
      <c r="A10" s="2" t="s">
        <v>27</v>
      </c>
      <c r="B10" s="2" t="s">
        <v>28</v>
      </c>
      <c r="C10" s="2" t="s">
        <v>11</v>
      </c>
      <c r="D10" s="2"/>
      <c r="E10" s="2"/>
      <c r="F10" s="3" t="str">
        <f aca="false">IF(D10=0,"-",IF(D10="","-",E10/D10))</f>
        <v>-</v>
      </c>
      <c r="G10" s="2" t="s">
        <v>20</v>
      </c>
      <c r="H10" s="2" t="s">
        <v>13</v>
      </c>
      <c r="I10" s="2"/>
    </row>
    <row r="11" customFormat="false" ht="31.5" hidden="false" customHeight="true" outlineLevel="0" collapsed="false">
      <c r="A11" s="2" t="s">
        <v>29</v>
      </c>
      <c r="B11" s="2" t="s">
        <v>30</v>
      </c>
      <c r="C11" s="2" t="s">
        <v>11</v>
      </c>
      <c r="D11" s="2"/>
      <c r="E11" s="2"/>
      <c r="F11" s="3" t="str">
        <f aca="false">IF(D11=0,"-",IF(D11="","-",E11/D11))</f>
        <v>-</v>
      </c>
      <c r="G11" s="2" t="s">
        <v>20</v>
      </c>
      <c r="H11" s="2" t="s">
        <v>13</v>
      </c>
      <c r="I11" s="2"/>
    </row>
    <row r="12" customFormat="false" ht="31.5" hidden="false" customHeight="true" outlineLevel="0" collapsed="false">
      <c r="A12" s="2" t="s">
        <v>31</v>
      </c>
      <c r="B12" s="2" t="s">
        <v>32</v>
      </c>
      <c r="C12" s="2" t="s">
        <v>11</v>
      </c>
      <c r="D12" s="2"/>
      <c r="E12" s="2"/>
      <c r="F12" s="3" t="str">
        <f aca="false">IF(D12=0,"-",IF(D12="","-",E12/D12))</f>
        <v>-</v>
      </c>
      <c r="G12" s="2" t="s">
        <v>20</v>
      </c>
      <c r="H12" s="2" t="s">
        <v>13</v>
      </c>
      <c r="I12" s="2" t="s">
        <v>33</v>
      </c>
    </row>
    <row r="13" customFormat="false" ht="31.5" hidden="false" customHeight="true" outlineLevel="0" collapsed="false">
      <c r="A13" s="2" t="s">
        <v>34</v>
      </c>
      <c r="B13" s="2" t="s">
        <v>35</v>
      </c>
      <c r="C13" s="2" t="s">
        <v>11</v>
      </c>
      <c r="D13" s="2"/>
      <c r="E13" s="2"/>
      <c r="F13" s="3" t="str">
        <f aca="false">IF(D13=0,"-",IF(D13="","-",E13/D13))</f>
        <v>-</v>
      </c>
      <c r="G13" s="2" t="s">
        <v>20</v>
      </c>
      <c r="H13" s="2" t="s">
        <v>13</v>
      </c>
      <c r="I13" s="2"/>
    </row>
    <row r="14" customFormat="false" ht="31.5" hidden="false" customHeight="true" outlineLevel="0" collapsed="false">
      <c r="A14" s="2" t="s">
        <v>34</v>
      </c>
      <c r="B14" s="2" t="s">
        <v>36</v>
      </c>
      <c r="C14" s="2" t="s">
        <v>11</v>
      </c>
      <c r="D14" s="2"/>
      <c r="E14" s="2"/>
      <c r="F14" s="3" t="str">
        <f aca="false">IF(D14=0,"-",IF(D14="","-",E14/D14))</f>
        <v>-</v>
      </c>
      <c r="G14" s="2" t="s">
        <v>20</v>
      </c>
      <c r="H14" s="2" t="s">
        <v>13</v>
      </c>
      <c r="I14" s="2"/>
    </row>
    <row r="15" customFormat="false" ht="31.5" hidden="false" customHeight="true" outlineLevel="0" collapsed="false">
      <c r="A15" s="2" t="s">
        <v>34</v>
      </c>
      <c r="B15" s="2" t="s">
        <v>37</v>
      </c>
      <c r="C15" s="2" t="s">
        <v>11</v>
      </c>
      <c r="D15" s="2"/>
      <c r="E15" s="2"/>
      <c r="F15" s="3" t="str">
        <f aca="false">IF(D15=0,"-",IF(D15="","-",E15/D15))</f>
        <v>-</v>
      </c>
      <c r="G15" s="2" t="s">
        <v>20</v>
      </c>
      <c r="H15" s="2" t="s">
        <v>13</v>
      </c>
      <c r="I15" s="2"/>
    </row>
    <row r="16" customFormat="false" ht="31.5" hidden="false" customHeight="true" outlineLevel="0" collapsed="false">
      <c r="A16" s="2" t="s">
        <v>38</v>
      </c>
      <c r="B16" s="2" t="s">
        <v>39</v>
      </c>
      <c r="C16" s="2" t="s">
        <v>11</v>
      </c>
      <c r="D16" s="2"/>
      <c r="E16" s="2"/>
      <c r="F16" s="3" t="str">
        <f aca="false">IF(D16=0,"-",IF(D16="","-",E16/D16))</f>
        <v>-</v>
      </c>
      <c r="G16" s="2" t="s">
        <v>20</v>
      </c>
      <c r="H16" s="2" t="s">
        <v>13</v>
      </c>
      <c r="I16" s="2"/>
    </row>
    <row r="17" customFormat="false" ht="31.5" hidden="false" customHeight="true" outlineLevel="0" collapsed="false">
      <c r="A17" s="2" t="s">
        <v>40</v>
      </c>
      <c r="B17" s="2" t="s">
        <v>41</v>
      </c>
      <c r="C17" s="2" t="s">
        <v>11</v>
      </c>
      <c r="D17" s="2"/>
      <c r="E17" s="2"/>
      <c r="F17" s="3" t="str">
        <f aca="false">IF(D17=0,"-",IF(D17="","-",E17/D17))</f>
        <v>-</v>
      </c>
      <c r="G17" s="2" t="s">
        <v>20</v>
      </c>
      <c r="H17" s="2" t="s">
        <v>13</v>
      </c>
      <c r="I17" s="2"/>
    </row>
    <row r="18" customFormat="false" ht="31.5" hidden="false" customHeight="true" outlineLevel="0" collapsed="false">
      <c r="A18" s="2" t="s">
        <v>42</v>
      </c>
      <c r="B18" s="2" t="s">
        <v>43</v>
      </c>
      <c r="C18" s="2" t="s">
        <v>11</v>
      </c>
      <c r="D18" s="2"/>
      <c r="E18" s="2"/>
      <c r="F18" s="3" t="str">
        <f aca="false">IF(D18=0,"-",IF(D18="","-",E18/D18))</f>
        <v>-</v>
      </c>
      <c r="G18" s="2" t="s">
        <v>12</v>
      </c>
      <c r="H18" s="2" t="s">
        <v>13</v>
      </c>
      <c r="I18" s="2"/>
    </row>
    <row r="19" customFormat="false" ht="31.5" hidden="false" customHeight="true" outlineLevel="0" collapsed="false">
      <c r="A19" s="2" t="s">
        <v>44</v>
      </c>
      <c r="B19" s="2" t="s">
        <v>45</v>
      </c>
      <c r="C19" s="2" t="s">
        <v>46</v>
      </c>
      <c r="D19" s="2"/>
      <c r="E19" s="2"/>
      <c r="F19" s="3" t="str">
        <f aca="false">IF(D19=0,"-",IF(D19="","-",E19/D19))</f>
        <v>-</v>
      </c>
      <c r="G19" s="2" t="s">
        <v>47</v>
      </c>
      <c r="H19" s="2" t="s">
        <v>13</v>
      </c>
      <c r="I19" s="2" t="s">
        <v>48</v>
      </c>
    </row>
    <row r="20" customFormat="false" ht="31.5" hidden="false" customHeight="true" outlineLevel="0" collapsed="false">
      <c r="A20" s="2" t="s">
        <v>49</v>
      </c>
      <c r="B20" s="2" t="s">
        <v>50</v>
      </c>
      <c r="C20" s="2" t="s">
        <v>46</v>
      </c>
      <c r="D20" s="2"/>
      <c r="E20" s="2"/>
      <c r="F20" s="3" t="str">
        <f aca="false">IF(D20=0,"-",IF(D20="","-",E20/D20))</f>
        <v>-</v>
      </c>
      <c r="G20" s="2" t="s">
        <v>47</v>
      </c>
      <c r="H20" s="2" t="s">
        <v>13</v>
      </c>
      <c r="I20" s="2" t="s">
        <v>51</v>
      </c>
    </row>
    <row r="21" customFormat="false" ht="31.5" hidden="false" customHeight="true" outlineLevel="0" collapsed="false">
      <c r="A21" s="2" t="s">
        <v>52</v>
      </c>
      <c r="B21" s="2" t="s">
        <v>53</v>
      </c>
      <c r="C21" s="2" t="s">
        <v>54</v>
      </c>
      <c r="D21" s="2"/>
      <c r="E21" s="2"/>
      <c r="F21" s="3" t="str">
        <f aca="false">IF(D21=0,"-",IF(D21="","-",E21/D21))</f>
        <v>-</v>
      </c>
      <c r="G21" s="2" t="s">
        <v>55</v>
      </c>
      <c r="H21" s="2" t="s">
        <v>13</v>
      </c>
      <c r="I21" s="2" t="s">
        <v>56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8</v>
      </c>
    </row>
    <row r="2" customFormat="false" ht="39.75" hidden="false" customHeight="true" outlineLevel="0" collapsed="false">
      <c r="A2" s="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</row>
    <row r="3" customFormat="false" ht="39.75" hidden="false" customHeight="true" outlineLevel="0" collapsed="false">
      <c r="A3" s="2" t="s">
        <v>68</v>
      </c>
      <c r="B3" s="2" t="s">
        <v>69</v>
      </c>
      <c r="C3" s="2" t="s">
        <v>70</v>
      </c>
      <c r="D3" s="2" t="s">
        <v>65</v>
      </c>
      <c r="E3" s="2" t="s">
        <v>66</v>
      </c>
      <c r="F3" s="2" t="s">
        <v>67</v>
      </c>
    </row>
    <row r="4" customFormat="false" ht="39.75" hidden="false" customHeight="true" outlineLevel="0" collapsed="false">
      <c r="A4" s="2" t="s">
        <v>71</v>
      </c>
      <c r="B4" s="2" t="s">
        <v>72</v>
      </c>
      <c r="C4" s="2" t="s">
        <v>73</v>
      </c>
      <c r="D4" s="2" t="s">
        <v>65</v>
      </c>
      <c r="E4" s="2" t="s">
        <v>66</v>
      </c>
      <c r="F4" s="2" t="s">
        <v>67</v>
      </c>
    </row>
    <row r="5" customFormat="false" ht="39.75" hidden="false" customHeight="true" outlineLevel="0" collapsed="false">
      <c r="A5" s="2" t="s">
        <v>74</v>
      </c>
      <c r="B5" s="2" t="s">
        <v>75</v>
      </c>
      <c r="C5" s="2" t="s">
        <v>76</v>
      </c>
      <c r="D5" s="2" t="s">
        <v>65</v>
      </c>
      <c r="E5" s="2" t="s">
        <v>66</v>
      </c>
      <c r="F5" s="2" t="s">
        <v>67</v>
      </c>
    </row>
    <row r="6" customFormat="false" ht="39.75" hidden="false" customHeight="true" outlineLevel="0" collapsed="false">
      <c r="A6" s="2" t="s">
        <v>77</v>
      </c>
      <c r="B6" s="2" t="s">
        <v>78</v>
      </c>
      <c r="C6" s="2" t="s">
        <v>79</v>
      </c>
      <c r="D6" s="2" t="s">
        <v>65</v>
      </c>
      <c r="E6" s="2" t="s">
        <v>66</v>
      </c>
      <c r="F6" s="2" t="s">
        <v>80</v>
      </c>
    </row>
    <row r="7" customFormat="false" ht="39.75" hidden="false" customHeight="true" outlineLevel="0" collapsed="false">
      <c r="A7" s="2" t="s">
        <v>81</v>
      </c>
      <c r="B7" s="2" t="s">
        <v>82</v>
      </c>
      <c r="C7" s="2" t="s">
        <v>83</v>
      </c>
      <c r="D7" s="2" t="s">
        <v>65</v>
      </c>
      <c r="E7" s="2" t="s">
        <v>66</v>
      </c>
      <c r="F7" s="2"/>
    </row>
    <row r="8" customFormat="false" ht="39.75" hidden="false" customHeight="true" outlineLevel="0" collapsed="false">
      <c r="A8" s="2" t="s">
        <v>84</v>
      </c>
      <c r="B8" s="2" t="s">
        <v>85</v>
      </c>
      <c r="C8" s="2" t="s">
        <v>86</v>
      </c>
      <c r="D8" s="2" t="s">
        <v>65</v>
      </c>
      <c r="E8" s="2" t="s">
        <v>66</v>
      </c>
      <c r="F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5"/>
    <col collapsed="false" customWidth="true" hidden="false" outlineLevel="0" max="7" min="6" style="0" width="1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87</v>
      </c>
      <c r="B1" s="1" t="s">
        <v>0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7</v>
      </c>
      <c r="H1" s="1" t="s">
        <v>8</v>
      </c>
    </row>
    <row r="2" customFormat="false" ht="34.5" hidden="false" customHeight="true" outlineLevel="0" collapsed="false">
      <c r="A2" s="2" t="s">
        <v>92</v>
      </c>
      <c r="B2" s="2" t="s">
        <v>93</v>
      </c>
      <c r="C2" s="2" t="s">
        <v>94</v>
      </c>
      <c r="D2" s="2"/>
      <c r="E2" s="2" t="s">
        <v>95</v>
      </c>
      <c r="F2" s="2" t="s">
        <v>96</v>
      </c>
      <c r="G2" s="2" t="s">
        <v>97</v>
      </c>
      <c r="H2" s="2"/>
    </row>
    <row r="3" customFormat="false" ht="34.5" hidden="false" customHeight="true" outlineLevel="0" collapsed="false">
      <c r="A3" s="2" t="s">
        <v>98</v>
      </c>
      <c r="B3" s="2" t="s">
        <v>93</v>
      </c>
      <c r="C3" s="2" t="s">
        <v>99</v>
      </c>
      <c r="D3" s="2"/>
      <c r="E3" s="2" t="s">
        <v>100</v>
      </c>
      <c r="F3" s="2" t="s">
        <v>101</v>
      </c>
      <c r="G3" s="2" t="s">
        <v>97</v>
      </c>
      <c r="H3" s="2"/>
    </row>
    <row r="4" customFormat="false" ht="34.5" hidden="false" customHeight="true" outlineLevel="0" collapsed="false">
      <c r="A4" s="2" t="s">
        <v>102</v>
      </c>
      <c r="B4" s="2" t="s">
        <v>93</v>
      </c>
      <c r="C4" s="2" t="s">
        <v>94</v>
      </c>
      <c r="D4" s="2"/>
      <c r="E4" s="2" t="s">
        <v>103</v>
      </c>
      <c r="F4" s="2" t="s">
        <v>104</v>
      </c>
      <c r="G4" s="2" t="s">
        <v>97</v>
      </c>
      <c r="H4" s="2"/>
    </row>
    <row r="5" customFormat="false" ht="34.5" hidden="false" customHeight="true" outlineLevel="0" collapsed="false">
      <c r="A5" s="2" t="s">
        <v>105</v>
      </c>
      <c r="B5" s="2" t="s">
        <v>93</v>
      </c>
      <c r="C5" s="2" t="s">
        <v>106</v>
      </c>
      <c r="D5" s="2"/>
      <c r="E5" s="2" t="s">
        <v>107</v>
      </c>
      <c r="F5" s="2" t="s">
        <v>108</v>
      </c>
      <c r="G5" s="2" t="s">
        <v>97</v>
      </c>
      <c r="H5" s="2"/>
    </row>
    <row r="6" customFormat="false" ht="34.5" hidden="false" customHeight="true" outlineLevel="0" collapsed="false">
      <c r="A6" s="2" t="s">
        <v>109</v>
      </c>
      <c r="B6" s="2" t="s">
        <v>110</v>
      </c>
      <c r="C6" s="2" t="s">
        <v>111</v>
      </c>
      <c r="D6" s="2"/>
      <c r="E6" s="2" t="s">
        <v>112</v>
      </c>
      <c r="F6" s="2" t="s">
        <v>113</v>
      </c>
      <c r="G6" s="2" t="s">
        <v>97</v>
      </c>
      <c r="H6" s="2" t="s">
        <v>114</v>
      </c>
    </row>
    <row r="7" customFormat="false" ht="34.5" hidden="false" customHeight="true" outlineLevel="0" collapsed="false">
      <c r="A7" s="2" t="s">
        <v>115</v>
      </c>
      <c r="B7" s="2" t="s">
        <v>110</v>
      </c>
      <c r="C7" s="2" t="s">
        <v>116</v>
      </c>
      <c r="D7" s="2"/>
      <c r="E7" s="2" t="s">
        <v>117</v>
      </c>
      <c r="F7" s="2" t="s">
        <v>113</v>
      </c>
      <c r="G7" s="2" t="s">
        <v>97</v>
      </c>
      <c r="H7" s="2"/>
    </row>
    <row r="8" customFormat="false" ht="34.5" hidden="false" customHeight="true" outlineLevel="0" collapsed="false">
      <c r="A8" s="2" t="s">
        <v>118</v>
      </c>
      <c r="B8" s="2" t="s">
        <v>110</v>
      </c>
      <c r="C8" s="2" t="s">
        <v>119</v>
      </c>
      <c r="D8" s="2"/>
      <c r="E8" s="2" t="s">
        <v>120</v>
      </c>
      <c r="F8" s="2" t="s">
        <v>108</v>
      </c>
      <c r="G8" s="2" t="s">
        <v>97</v>
      </c>
      <c r="H8" s="2"/>
    </row>
    <row r="9" customFormat="false" ht="34.5" hidden="false" customHeight="true" outlineLevel="0" collapsed="false">
      <c r="A9" s="2" t="s">
        <v>121</v>
      </c>
      <c r="B9" s="2" t="s">
        <v>122</v>
      </c>
      <c r="C9" s="2" t="s">
        <v>123</v>
      </c>
      <c r="D9" s="2"/>
      <c r="E9" s="2" t="s">
        <v>124</v>
      </c>
      <c r="F9" s="2" t="s">
        <v>125</v>
      </c>
      <c r="G9" s="2" t="s">
        <v>97</v>
      </c>
      <c r="H9" s="2" t="s">
        <v>126</v>
      </c>
    </row>
    <row r="10" customFormat="false" ht="34.5" hidden="false" customHeight="true" outlineLevel="0" collapsed="false">
      <c r="A10" s="2" t="s">
        <v>127</v>
      </c>
      <c r="B10" s="2" t="s">
        <v>122</v>
      </c>
      <c r="C10" s="2" t="s">
        <v>128</v>
      </c>
      <c r="D10" s="2"/>
      <c r="E10" s="2" t="s">
        <v>129</v>
      </c>
      <c r="F10" s="2" t="s">
        <v>130</v>
      </c>
      <c r="G10" s="2" t="s">
        <v>97</v>
      </c>
      <c r="H10" s="2"/>
    </row>
    <row r="11" customFormat="false" ht="34.5" hidden="false" customHeight="true" outlineLevel="0" collapsed="false">
      <c r="A11" s="2" t="s">
        <v>131</v>
      </c>
      <c r="B11" s="2" t="s">
        <v>122</v>
      </c>
      <c r="C11" s="2" t="s">
        <v>128</v>
      </c>
      <c r="D11" s="2"/>
      <c r="E11" s="2" t="s">
        <v>129</v>
      </c>
      <c r="F11" s="2" t="s">
        <v>130</v>
      </c>
      <c r="G11" s="2" t="s">
        <v>97</v>
      </c>
      <c r="H11" s="2"/>
    </row>
    <row r="12" customFormat="false" ht="34.5" hidden="false" customHeight="true" outlineLevel="0" collapsed="false">
      <c r="A12" s="2" t="s">
        <v>132</v>
      </c>
      <c r="B12" s="2" t="s">
        <v>122</v>
      </c>
      <c r="C12" s="2" t="s">
        <v>123</v>
      </c>
      <c r="D12" s="2"/>
      <c r="E12" s="2" t="s">
        <v>129</v>
      </c>
      <c r="F12" s="2" t="s">
        <v>130</v>
      </c>
      <c r="G12" s="2" t="s">
        <v>97</v>
      </c>
      <c r="H12" s="2"/>
    </row>
    <row r="13" customFormat="false" ht="34.5" hidden="false" customHeight="true" outlineLevel="0" collapsed="false">
      <c r="A13" s="2" t="s">
        <v>133</v>
      </c>
      <c r="B13" s="2" t="s">
        <v>134</v>
      </c>
      <c r="C13" s="2" t="s">
        <v>96</v>
      </c>
      <c r="D13" s="2"/>
      <c r="E13" s="2" t="s">
        <v>135</v>
      </c>
      <c r="F13" s="2" t="s">
        <v>96</v>
      </c>
      <c r="G13" s="2" t="s">
        <v>97</v>
      </c>
      <c r="H13" s="2" t="s">
        <v>136</v>
      </c>
    </row>
    <row r="14" customFormat="false" ht="34.5" hidden="false" customHeight="true" outlineLevel="0" collapsed="false">
      <c r="A14" s="2" t="s">
        <v>137</v>
      </c>
      <c r="B14" s="2" t="s">
        <v>134</v>
      </c>
      <c r="C14" s="2" t="s">
        <v>99</v>
      </c>
      <c r="D14" s="2"/>
      <c r="E14" s="2" t="s">
        <v>138</v>
      </c>
      <c r="F14" s="2" t="s">
        <v>96</v>
      </c>
      <c r="G14" s="2" t="s">
        <v>97</v>
      </c>
      <c r="H14" s="2"/>
    </row>
    <row r="15" customFormat="false" ht="34.5" hidden="false" customHeight="true" outlineLevel="0" collapsed="false">
      <c r="A15" s="2" t="s">
        <v>139</v>
      </c>
      <c r="B15" s="2" t="s">
        <v>134</v>
      </c>
      <c r="C15" s="2" t="s">
        <v>99</v>
      </c>
      <c r="D15" s="2"/>
      <c r="E15" s="2" t="s">
        <v>140</v>
      </c>
      <c r="F15" s="2" t="s">
        <v>96</v>
      </c>
      <c r="G15" s="2" t="s">
        <v>97</v>
      </c>
      <c r="H15" s="2"/>
    </row>
    <row r="16" customFormat="false" ht="34.5" hidden="false" customHeight="true" outlineLevel="0" collapsed="false">
      <c r="A16" s="2" t="s">
        <v>141</v>
      </c>
      <c r="B16" s="2" t="s">
        <v>134</v>
      </c>
      <c r="C16" s="2" t="s">
        <v>142</v>
      </c>
      <c r="D16" s="2"/>
      <c r="E16" s="2" t="s">
        <v>143</v>
      </c>
      <c r="F16" s="2" t="s">
        <v>108</v>
      </c>
      <c r="G16" s="2" t="s">
        <v>97</v>
      </c>
      <c r="H16" s="2" t="s">
        <v>144</v>
      </c>
    </row>
    <row r="17" customFormat="false" ht="34.5" hidden="false" customHeight="true" outlineLevel="0" collapsed="false">
      <c r="A17" s="2" t="s">
        <v>145</v>
      </c>
      <c r="B17" s="2" t="s">
        <v>134</v>
      </c>
      <c r="C17" s="2" t="s">
        <v>142</v>
      </c>
      <c r="D17" s="2"/>
      <c r="E17" s="2" t="s">
        <v>146</v>
      </c>
      <c r="F17" s="2" t="s">
        <v>108</v>
      </c>
      <c r="G17" s="2" t="s">
        <v>97</v>
      </c>
      <c r="H17" s="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0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8</v>
      </c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5" t="str">
        <f aca="false">IF(F2="","",AVERAGE(F2:H2))</f>
        <v/>
      </c>
      <c r="J2" s="6" t="str">
        <f aca="false">IF(I2="","",IF(I2&gt;=0.9,"YES","NO"))</f>
        <v/>
      </c>
      <c r="K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5" t="str">
        <f aca="false">IF(F3="","",AVERAGE(F3:H3))</f>
        <v/>
      </c>
      <c r="J3" s="6" t="str">
        <f aca="false">IF(I3="","",IF(I3&gt;=0.9,"YES","NO"))</f>
        <v/>
      </c>
      <c r="K3" s="4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5" t="str">
        <f aca="false">IF(F4="","",AVERAGE(F4:H4))</f>
        <v/>
      </c>
      <c r="J4" s="6" t="str">
        <f aca="false">IF(I4="","",IF(I4&gt;=0.9,"YES","NO"))</f>
        <v/>
      </c>
      <c r="K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5" t="str">
        <f aca="false">IF(F5="","",AVERAGE(F5:H5))</f>
        <v/>
      </c>
      <c r="J5" s="6" t="str">
        <f aca="false">IF(I5="","",IF(I5&gt;=0.9,"YES","NO"))</f>
        <v/>
      </c>
      <c r="K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5" t="str">
        <f aca="false">IF(F6="","",AVERAGE(F6:H6))</f>
        <v/>
      </c>
      <c r="J6" s="6" t="str">
        <f aca="false">IF(I6="","",IF(I6&gt;=0.9,"YES","NO"))</f>
        <v/>
      </c>
      <c r="K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5" t="str">
        <f aca="false">IF(F7="","",AVERAGE(F7:H7))</f>
        <v/>
      </c>
      <c r="J7" s="6" t="str">
        <f aca="false">IF(I7="","",IF(I7&gt;=0.9,"YES","NO"))</f>
        <v/>
      </c>
      <c r="K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5" t="str">
        <f aca="false">IF(F8="","",AVERAGE(F8:H8))</f>
        <v/>
      </c>
      <c r="J8" s="6" t="str">
        <f aca="false">IF(I8="","",IF(I8&gt;=0.9,"YES","NO"))</f>
        <v/>
      </c>
      <c r="K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5" t="str">
        <f aca="false">IF(F9="","",AVERAGE(F9:H9))</f>
        <v/>
      </c>
      <c r="J9" s="6" t="str">
        <f aca="false">IF(I9="","",IF(I9&gt;=0.9,"YES","NO"))</f>
        <v/>
      </c>
      <c r="K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5" t="str">
        <f aca="false">IF(F10="","",AVERAGE(F10:H10))</f>
        <v/>
      </c>
      <c r="J10" s="6" t="str">
        <f aca="false">IF(I10="","",IF(I10&gt;=0.9,"YES","NO"))</f>
        <v/>
      </c>
      <c r="K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5" t="str">
        <f aca="false">IF(F11="","",AVERAGE(F11:H11))</f>
        <v/>
      </c>
      <c r="J11" s="6" t="str">
        <f aca="false">IF(I11="","",IF(I11&gt;=0.9,"YES","NO"))</f>
        <v/>
      </c>
      <c r="K1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2026-04-06T05:19:44Z</dcterms:created>
  <dc:creator>openpyxl</dc:creator>
  <dc:description/>
  <dc:language>en-US</dc:language>
  <cp:lastModifiedBy/>
  <dcterms:modified xsi:type="dcterms:W3CDTF">2026-04-06T05:19:44Z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