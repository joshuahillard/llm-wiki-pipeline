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Tracker" sheetId="1" state="visible" r:id="rId3"/>
    <sheet name="Summary" sheetId="2" state="visible" r:id="rId4"/>
    <sheet name="Open Questions" sheetId="3" state="visible" r:id="rId5"/>
  </sheets>
  <definedNames>
    <definedName function="false" hidden="true" localSheetId="0" name="_xlnm._FilterDatabase" vbProcedure="false">'Sprint Tracker'!$A$1:$M$1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<sst xmlns="http://schemas.openxmlformats.org/spreadsheetml/2006/main" count="212" uniqueCount="150">
  <si>
    <t xml:space="preserve">#</t>
  </si>
  <si>
    <t xml:space="preserve">Item</t>
  </si>
  <si>
    <t xml:space="preserve">Component</t>
  </si>
  <si>
    <t xml:space="preserve">Phase</t>
  </si>
  <si>
    <t xml:space="preserve">Dependencies</t>
  </si>
  <si>
    <t xml:space="preserve">Acceptance Criteria</t>
  </si>
  <si>
    <t xml:space="preserve">Owner Persona</t>
  </si>
  <si>
    <t xml:space="preserve">Status</t>
  </si>
  <si>
    <t xml:space="preserve">Start Date</t>
  </si>
  <si>
    <t xml:space="preserve">Target Date</t>
  </si>
  <si>
    <t xml:space="preserve">Actual Date</t>
  </si>
  <si>
    <t xml:space="preserve">Blockers</t>
  </si>
  <si>
    <t xml:space="preserve">Notes</t>
  </si>
  <si>
    <t xml:space="preserve">1</t>
  </si>
  <si>
    <t xml:space="preserve">Build parse_identity.py with UTF-8 BOM handling and stable JSON output</t>
  </si>
  <si>
    <t xml:space="preserve">parse_identity.py</t>
  </si>
  <si>
    <t xml:space="preserve">NOW</t>
  </si>
  <si>
    <t xml:space="preserve">None — start here</t>
  </si>
  <si>
    <t xml:space="preserve">Extracts source_id from frontmatter; handles BOM; returns structured JSON on success and failure</t>
  </si>
  <si>
    <t xml:space="preserve">Data Engineer</t>
  </si>
  <si>
    <t xml:space="preserve">Not Started</t>
  </si>
  <si>
    <t xml:space="preserve">2</t>
  </si>
  <si>
    <t xml:space="preserve">Update validator_runner.py to use parse_identity.py as parser authority</t>
  </si>
  <si>
    <t xml:space="preserve">validator_runner.py</t>
  </si>
  <si>
    <t xml:space="preserve">Item 1</t>
  </si>
  <si>
    <t xml:space="preserve">Imports parse_identity; no duplicate regex; distinct exit codes for full 0-5 contract (APPROVE/REJECT/ESCALATE/SCHEMA_FAULT/SYSTEM_FAULT/TOKEN_OVERFLOW)</t>
  </si>
  <si>
    <t xml:space="preserve">Backend Engineer</t>
  </si>
  <si>
    <t xml:space="preserve">3</t>
  </si>
  <si>
    <t xml:space="preserve">Update Run-Validator.ps1 to build transaction keys from parser output</t>
  </si>
  <si>
    <t xml:space="preserve">Run-Validator.ps1</t>
  </si>
  <si>
    <t xml:space="preserve">Items 1, 2</t>
  </si>
  <si>
    <t xml:space="preserve">Context digest computed; ledger keys use canonical form; startup reconciliation persists immediately</t>
  </si>
  <si>
    <t xml:space="preserve">4</t>
  </si>
  <si>
    <t xml:space="preserve">Create validation_result.schema.json</t>
  </si>
  <si>
    <t xml:space="preserve">Schema artifact</t>
  </si>
  <si>
    <t xml:space="preserve">None — parallel with Item 1</t>
  </si>
  <si>
    <t xml:space="preserve">Covers approve/reject/escalate outcomes; validator_runner validates output against it</t>
  </si>
  <si>
    <t xml:space="preserve">4b</t>
  </si>
  <si>
    <t xml:space="preserve">Create ops/validator_config.json (model configuration manifest)</t>
  </si>
  <si>
    <t xml:space="preserve">Config artifact</t>
  </si>
  <si>
    <t xml:space="preserve">LLM provider decision (Open Question #1)</t>
  </si>
  <si>
    <t xml:space="preserve">Contains all 9 fields (provider, model_id, quantization_level, temperature, top_p, max_context_tokens, system_instruction_hash, lora_adapter_path, tokenizer_id); all fields except tokenizer_id included in context digest</t>
  </si>
  <si>
    <t xml:space="preserve">AI/ML Architect</t>
  </si>
  <si>
    <t xml:space="preserve">Blocked by Open Question #1</t>
  </si>
  <si>
    <t xml:space="preserve">4c</t>
  </si>
  <si>
    <t xml:space="preserve">Implement JSON-structured logging (JSONL)</t>
  </si>
  <si>
    <t xml:space="preserve">Heartbeat + transaction entries; Try/Catch wrapper on top-level loop; SYSTEM_FAULT exits write to error log</t>
  </si>
  <si>
    <t xml:space="preserve">4d</t>
  </si>
  <si>
    <t xml:space="preserve">Token budget enforcement in validator_runner.py</t>
  </si>
  <si>
    <t xml:space="preserve">Item 4b (model config)</t>
  </si>
  <si>
    <t xml:space="preserve">Pre-send token count; policy_bundle + article must fit model context window; overflow handled as non-terminal skip (EXIT_TOKEN_OVERFLOW code 5)</t>
  </si>
  <si>
    <t xml:space="preserve">4e</t>
  </si>
  <si>
    <t xml:space="preserve">Bootstrap golden corpus: curated examples covering approve/reject/escalate + adversarial edge cases</t>
  </si>
  <si>
    <t xml:space="preserve">Test artifact</t>
  </si>
  <si>
    <t xml:space="preserve">Mixed-source: manually curated + synthetic adversarial; overrepresents malformed frontmatter, policy conflicts, near-limit tokens, ambiguous cases</t>
  </si>
  <si>
    <t xml:space="preserve">QA/Test Lead</t>
  </si>
  <si>
    <t xml:space="preserve">4f</t>
  </si>
  <si>
    <t xml:space="preserve">Runtime parity harness: managed vs. self-hosted agreement testing on golden corpus</t>
  </si>
  <si>
    <t xml:space="preserve">Test harness</t>
  </si>
  <si>
    <t xml:space="preserve">Items 2, 4b, 4e</t>
  </si>
  <si>
    <t xml:space="preserve">Both model paths evaluate same corpus; decision agreement rate computed; threshold gates self-hosted activation</t>
  </si>
  <si>
    <t xml:space="preserve">5</t>
  </si>
  <si>
    <t xml:space="preserve">Build Promote-ToVerified.ps1 with namespace preservation and tree SHA verification</t>
  </si>
  <si>
    <t xml:space="preserve">Promote-ToVerified.ps1</t>
  </si>
  <si>
    <t xml:space="preserve">NEXT</t>
  </si>
  <si>
    <t xml:space="preserve">Items 1-4 complete</t>
  </si>
  <si>
    <t xml:space="preserve">Mirrors provisional path under verified/; verifies remote PR equivalence via tree SHA; full workspace rollback on fast-path</t>
  </si>
  <si>
    <t xml:space="preserve">DevOps</t>
  </si>
  <si>
    <t xml:space="preserve">6</t>
  </si>
  <si>
    <t xml:space="preserve">Build _policy_bundle.md v1 with initial content policy rules</t>
  </si>
  <si>
    <t xml:space="preserve">policy_engine/</t>
  </si>
  <si>
    <t xml:space="preserve">Product sign-off on policy criteria</t>
  </si>
  <si>
    <t xml:space="preserve">Covers accuracy, completeness, and formatting standards for wiki articles</t>
  </si>
  <si>
    <t xml:space="preserve">Product Manager</t>
  </si>
  <si>
    <t xml:space="preserve">7</t>
  </si>
  <si>
    <t xml:space="preserve">End-to-end test suite: T1-T8 test matrix</t>
  </si>
  <si>
    <t xml:space="preserve">Items 1-6</t>
  </si>
  <si>
    <t xml:space="preserve">All 8 test matrix scenarios (T1-T8) pass including declined PR lifecycle and frontmatter injection</t>
  </si>
  <si>
    <t xml:space="preserve">7b</t>
  </si>
  <si>
    <t xml:space="preserve">Self-hosted inference stack evaluation: vLLM vs. TGI vs. llama.cpp</t>
  </si>
  <si>
    <t xml:space="preserve">Infrastructure</t>
  </si>
  <si>
    <t xml:space="preserve">Item 4b, parity harness results</t>
  </si>
  <si>
    <t xml:space="preserve">Evaluate FlashAttention/PagedAttention support, KV cache ceiling, max concurrency per GPU, quantization quality matrix</t>
  </si>
  <si>
    <t xml:space="preserve">7c</t>
  </si>
  <si>
    <t xml:space="preserve">Quantization evaluation: FP16 vs. Q8 vs. Q4_K_M on golden corpus</t>
  </si>
  <si>
    <t xml:space="preserve">Evaluation artifact</t>
  </si>
  <si>
    <t xml:space="preserve">Items 4e, 4f, 7b</t>
  </si>
  <si>
    <t xml:space="preserve">Measure decision agreement rate vs. managed API at each quantization level; document quality/cost trade-off</t>
  </si>
  <si>
    <t xml:space="preserve">8</t>
  </si>
  <si>
    <t xml:space="preserve">Rejection feedback sidecar files for content authors</t>
  </si>
  <si>
    <t xml:space="preserve">P1 feature</t>
  </si>
  <si>
    <t xml:space="preserve">LATER</t>
  </si>
  <si>
    <t xml:space="preserve">Core pipeline operational</t>
  </si>
  <si>
    <t xml:space="preserve">Write structured feedback to provisional/ alongside rejected drafts</t>
  </si>
  <si>
    <t xml:space="preserve">9</t>
  </si>
  <si>
    <t xml:space="preserve">Pipeline metrics dashboard (throughput, latency, rejection rate)</t>
  </si>
  <si>
    <t xml:space="preserve">Ledger data available</t>
  </si>
  <si>
    <t xml:space="preserve">Read-only view of validation_state.json for operational visibility</t>
  </si>
  <si>
    <t xml:space="preserve">10</t>
  </si>
  <si>
    <t xml:space="preserve">Vertex AI regime classification integration</t>
  </si>
  <si>
    <t xml:space="preserve">P2 feature</t>
  </si>
  <si>
    <t xml:space="preserve">Runner model config externalized</t>
  </si>
  <si>
    <t xml:space="preserve">Requires model provider abstraction in validator_runner.py</t>
  </si>
  <si>
    <t xml:space="preserve">11</t>
  </si>
  <si>
    <t xml:space="preserve">Fine-tuning decision gate: prompt-only vs. fine-tuned accuracy</t>
  </si>
  <si>
    <t xml:space="preserve">Evaluation</t>
  </si>
  <si>
    <t xml:space="preserve">500+ human-reviewed transactions</t>
  </si>
  <si>
    <t xml:space="preserve">If fine-tuned model exceeds prompt-only by &gt;5% agreement on holdout, proceed to LoRA/QLoRA adaptation</t>
  </si>
  <si>
    <t xml:space="preserve">12</t>
  </si>
  <si>
    <t xml:space="preserve">LoRA/QLoRA fine-tuning on pipeline evaluation data</t>
  </si>
  <si>
    <t xml:space="preserve">Model adaptation</t>
  </si>
  <si>
    <t xml:space="preserve">Item 11 decision gate passes</t>
  </si>
  <si>
    <t xml:space="preserve">Train LoRA adapter on human-reviewed outcomes; merge into self-hosted model; re-run parity harness</t>
  </si>
  <si>
    <t xml:space="preserve">13</t>
  </si>
  <si>
    <t xml:space="preserve">DPO alignment from PR review outcomes</t>
  </si>
  <si>
    <t xml:space="preserve">Item 12 complete; reviewer merge/decline data</t>
  </si>
  <si>
    <t xml:space="preserve">Train on preference pairs (merged PR = positive, declined PR = negative)</t>
  </si>
  <si>
    <t xml:space="preserve">14</t>
  </si>
  <si>
    <t xml:space="preserve">Rolling holdout set: frozen evaluation slice refreshed on cadence</t>
  </si>
  <si>
    <t xml:space="preserve">Evaluation infrastructure</t>
  </si>
  <si>
    <t xml:space="preserve">Production corpus sufficiently large</t>
  </si>
  <si>
    <t xml:space="preserve">Immutable holdout prevents overfitting; used only for parity testing and regression detection</t>
  </si>
  <si>
    <t xml:space="preserve">LLM-Wiki Content Pipeline — Sprint Summary</t>
  </si>
  <si>
    <t xml:space="preserve">Metric</t>
  </si>
  <si>
    <t xml:space="preserve">Total Items</t>
  </si>
  <si>
    <t xml:space="preserve">In Progress</t>
  </si>
  <si>
    <t xml:space="preserve">Complete</t>
  </si>
  <si>
    <t xml:space="preserve">Blocked</t>
  </si>
  <si>
    <t xml:space="preserve">Question</t>
  </si>
  <si>
    <t xml:space="preserve">Owner</t>
  </si>
  <si>
    <t xml:space="preserve">Blocking</t>
  </si>
  <si>
    <t xml:space="preserve">Resolution</t>
  </si>
  <si>
    <t xml:space="preserve">Date Resolved</t>
  </si>
  <si>
    <t xml:space="preserve">OQ-1</t>
  </si>
  <si>
    <t xml:space="preserve">Which managed API provider is the primary evaluation path for v1, and which self-hosted model/serving stack is the parity candidate?</t>
  </si>
  <si>
    <t xml:space="preserve">Engineering + Product</t>
  </si>
  <si>
    <t xml:space="preserve">Items 2, 4b, 4d, 4f</t>
  </si>
  <si>
    <t xml:space="preserve">Open</t>
  </si>
  <si>
    <t xml:space="preserve">OQ-2</t>
  </si>
  <si>
    <t xml:space="preserve">What is the Gitea branch protection configuration?</t>
  </si>
  <si>
    <t xml:space="preserve">Engineering / Infra</t>
  </si>
  <si>
    <t xml:space="preserve">Item 5 (Promote-ToVerified.ps1)</t>
  </si>
  <si>
    <t xml:space="preserve">OQ-3</t>
  </si>
  <si>
    <t xml:space="preserve">Sidecar feedback format and delivery mechanism</t>
  </si>
  <si>
    <t xml:space="preserve">Product</t>
  </si>
  <si>
    <t xml:space="preserve">Item 8</t>
  </si>
  <si>
    <t xml:space="preserve">OQ-4</t>
  </si>
  <si>
    <t xml:space="preserve">Rate limit guardrails for managed API</t>
  </si>
  <si>
    <t xml:space="preserve">Engineering</t>
  </si>
  <si>
    <t xml:space="preserve">Items 2, 4d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</si>
</sst>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9E2F3"/>
      </patternFill>
    </fill>
    <fill>
      <patternFill patternType="solid">
        <fgColor rgb="FFFCE4D6"/>
        <bgColor rgb="FFE2EFDA"/>
      </patternFill>
    </fill>
    <fill>
      <patternFill patternType="solid">
        <fgColor rgb="FFD9E2F3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55"/>
    <col collapsed="false" customWidth="true" hidden="false" outlineLevel="0" max="7" min="7" style="0" width="18"/>
    <col collapsed="false" customWidth="true" hidden="false" outlineLevel="0" max="11" min="8" style="0" width="14"/>
    <col collapsed="false" customWidth="true" hidden="false" outlineLevel="0" max="13" min="12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45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/>
      <c r="J2" s="2"/>
      <c r="K2" s="2"/>
      <c r="L2" s="2"/>
      <c r="M2" s="2"/>
    </row>
    <row r="3" customFormat="false" ht="45" hidden="false" customHeight="true" outlineLevel="0" collapsed="false">
      <c r="A3" s="2" t="s">
        <v>21</v>
      </c>
      <c r="B3" s="2" t="s">
        <v>22</v>
      </c>
      <c r="C3" s="2" t="s">
        <v>23</v>
      </c>
      <c r="D3" s="2" t="s">
        <v>16</v>
      </c>
      <c r="E3" s="2" t="s">
        <v>24</v>
      </c>
      <c r="F3" s="2" t="s">
        <v>25</v>
      </c>
      <c r="G3" s="2" t="s">
        <v>26</v>
      </c>
      <c r="H3" s="2" t="s">
        <v>20</v>
      </c>
      <c r="I3" s="2"/>
      <c r="J3" s="2"/>
      <c r="K3" s="2"/>
      <c r="L3" s="2"/>
      <c r="M3" s="2"/>
    </row>
    <row r="4" customFormat="false" ht="45" hidden="false" customHeight="true" outlineLevel="0" collapsed="false">
      <c r="A4" s="2" t="s">
        <v>27</v>
      </c>
      <c r="B4" s="2" t="s">
        <v>28</v>
      </c>
      <c r="C4" s="2" t="s">
        <v>29</v>
      </c>
      <c r="D4" s="2" t="s">
        <v>16</v>
      </c>
      <c r="E4" s="2" t="s">
        <v>30</v>
      </c>
      <c r="F4" s="2" t="s">
        <v>31</v>
      </c>
      <c r="G4" s="2" t="s">
        <v>19</v>
      </c>
      <c r="H4" s="2" t="s">
        <v>20</v>
      </c>
      <c r="I4" s="2"/>
      <c r="J4" s="2"/>
      <c r="K4" s="2"/>
      <c r="L4" s="2"/>
      <c r="M4" s="2"/>
    </row>
    <row r="5" customFormat="false" ht="45" hidden="false" customHeight="true" outlineLevel="0" collapsed="false">
      <c r="A5" s="2" t="s">
        <v>32</v>
      </c>
      <c r="B5" s="2" t="s">
        <v>33</v>
      </c>
      <c r="C5" s="2" t="s">
        <v>34</v>
      </c>
      <c r="D5" s="2" t="s">
        <v>16</v>
      </c>
      <c r="E5" s="2" t="s">
        <v>35</v>
      </c>
      <c r="F5" s="2" t="s">
        <v>36</v>
      </c>
      <c r="G5" s="2" t="s">
        <v>26</v>
      </c>
      <c r="H5" s="2" t="s">
        <v>20</v>
      </c>
      <c r="I5" s="2"/>
      <c r="J5" s="2"/>
      <c r="K5" s="2"/>
      <c r="L5" s="2"/>
      <c r="M5" s="2"/>
    </row>
    <row r="6" customFormat="false" ht="45" hidden="false" customHeight="true" outlineLevel="0" collapsed="false">
      <c r="A6" s="2" t="s">
        <v>37</v>
      </c>
      <c r="B6" s="2" t="s">
        <v>38</v>
      </c>
      <c r="C6" s="2" t="s">
        <v>39</v>
      </c>
      <c r="D6" s="2" t="s">
        <v>16</v>
      </c>
      <c r="E6" s="2" t="s">
        <v>40</v>
      </c>
      <c r="F6" s="2" t="s">
        <v>41</v>
      </c>
      <c r="G6" s="2" t="s">
        <v>42</v>
      </c>
      <c r="H6" s="2" t="s">
        <v>20</v>
      </c>
      <c r="I6" s="2"/>
      <c r="J6" s="2"/>
      <c r="K6" s="2"/>
      <c r="L6" s="2" t="s">
        <v>43</v>
      </c>
      <c r="M6" s="2"/>
    </row>
    <row r="7" customFormat="false" ht="45" hidden="false" customHeight="true" outlineLevel="0" collapsed="false">
      <c r="A7" s="2" t="s">
        <v>44</v>
      </c>
      <c r="B7" s="2" t="s">
        <v>45</v>
      </c>
      <c r="C7" s="2" t="s">
        <v>29</v>
      </c>
      <c r="D7" s="2" t="s">
        <v>16</v>
      </c>
      <c r="E7" s="2" t="s">
        <v>35</v>
      </c>
      <c r="F7" s="2" t="s">
        <v>46</v>
      </c>
      <c r="G7" s="2" t="s">
        <v>19</v>
      </c>
      <c r="H7" s="2" t="s">
        <v>20</v>
      </c>
      <c r="I7" s="2"/>
      <c r="J7" s="2"/>
      <c r="K7" s="2"/>
      <c r="L7" s="2"/>
      <c r="M7" s="2"/>
    </row>
    <row r="8" customFormat="false" ht="45" hidden="false" customHeight="true" outlineLevel="0" collapsed="false">
      <c r="A8" s="2" t="s">
        <v>47</v>
      </c>
      <c r="B8" s="2" t="s">
        <v>48</v>
      </c>
      <c r="C8" s="2" t="s">
        <v>23</v>
      </c>
      <c r="D8" s="2" t="s">
        <v>16</v>
      </c>
      <c r="E8" s="2" t="s">
        <v>49</v>
      </c>
      <c r="F8" s="2" t="s">
        <v>50</v>
      </c>
      <c r="G8" s="2" t="s">
        <v>42</v>
      </c>
      <c r="H8" s="2" t="s">
        <v>20</v>
      </c>
      <c r="I8" s="2"/>
      <c r="J8" s="2"/>
      <c r="K8" s="2"/>
      <c r="L8" s="2"/>
      <c r="M8" s="2"/>
    </row>
    <row r="9" customFormat="false" ht="45" hidden="false" customHeight="true" outlineLevel="0" collapsed="false">
      <c r="A9" s="2" t="s">
        <v>51</v>
      </c>
      <c r="B9" s="2" t="s">
        <v>52</v>
      </c>
      <c r="C9" s="2" t="s">
        <v>53</v>
      </c>
      <c r="D9" s="2" t="s">
        <v>16</v>
      </c>
      <c r="E9" s="2" t="s">
        <v>35</v>
      </c>
      <c r="F9" s="2" t="s">
        <v>54</v>
      </c>
      <c r="G9" s="2" t="s">
        <v>55</v>
      </c>
      <c r="H9" s="2" t="s">
        <v>20</v>
      </c>
      <c r="I9" s="2"/>
      <c r="J9" s="2"/>
      <c r="K9" s="2"/>
      <c r="L9" s="2"/>
      <c r="M9" s="2"/>
    </row>
    <row r="10" customFormat="false" ht="45" hidden="false" customHeight="true" outlineLevel="0" collapsed="false">
      <c r="A10" s="2" t="s">
        <v>56</v>
      </c>
      <c r="B10" s="2" t="s">
        <v>57</v>
      </c>
      <c r="C10" s="2" t="s">
        <v>58</v>
      </c>
      <c r="D10" s="2" t="s">
        <v>16</v>
      </c>
      <c r="E10" s="2" t="s">
        <v>59</v>
      </c>
      <c r="F10" s="2" t="s">
        <v>60</v>
      </c>
      <c r="G10" s="2" t="s">
        <v>42</v>
      </c>
      <c r="H10" s="2" t="s">
        <v>20</v>
      </c>
      <c r="I10" s="2"/>
      <c r="J10" s="2"/>
      <c r="K10" s="2"/>
      <c r="L10" s="2"/>
      <c r="M10" s="2"/>
    </row>
    <row r="11" customFormat="false" ht="45" hidden="false" customHeight="true" outlineLevel="0" collapsed="false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65</v>
      </c>
      <c r="F11" s="3" t="s">
        <v>66</v>
      </c>
      <c r="G11" s="3" t="s">
        <v>67</v>
      </c>
      <c r="H11" s="3" t="s">
        <v>20</v>
      </c>
      <c r="I11" s="3"/>
      <c r="J11" s="3"/>
      <c r="K11" s="3"/>
      <c r="L11" s="3"/>
      <c r="M11" s="3"/>
    </row>
    <row r="12" customFormat="false" ht="45" hidden="false" customHeight="true" outlineLevel="0" collapsed="false">
      <c r="A12" s="3" t="s">
        <v>68</v>
      </c>
      <c r="B12" s="3" t="s">
        <v>69</v>
      </c>
      <c r="C12" s="3" t="s">
        <v>70</v>
      </c>
      <c r="D12" s="3" t="s">
        <v>64</v>
      </c>
      <c r="E12" s="3" t="s">
        <v>71</v>
      </c>
      <c r="F12" s="3" t="s">
        <v>72</v>
      </c>
      <c r="G12" s="3" t="s">
        <v>73</v>
      </c>
      <c r="H12" s="3" t="s">
        <v>20</v>
      </c>
      <c r="I12" s="3"/>
      <c r="J12" s="3"/>
      <c r="K12" s="3"/>
      <c r="L12" s="3"/>
      <c r="M12" s="3"/>
    </row>
    <row r="13" customFormat="false" ht="45" hidden="false" customHeight="true" outlineLevel="0" collapsed="false">
      <c r="A13" s="3" t="s">
        <v>74</v>
      </c>
      <c r="B13" s="3" t="s">
        <v>75</v>
      </c>
      <c r="C13" s="3" t="s">
        <v>58</v>
      </c>
      <c r="D13" s="3" t="s">
        <v>64</v>
      </c>
      <c r="E13" s="3" t="s">
        <v>76</v>
      </c>
      <c r="F13" s="3" t="s">
        <v>77</v>
      </c>
      <c r="G13" s="3" t="s">
        <v>55</v>
      </c>
      <c r="H13" s="3" t="s">
        <v>20</v>
      </c>
      <c r="I13" s="3"/>
      <c r="J13" s="3"/>
      <c r="K13" s="3"/>
      <c r="L13" s="3"/>
      <c r="M13" s="3"/>
    </row>
    <row r="14" customFormat="false" ht="45" hidden="false" customHeight="true" outlineLevel="0" collapsed="false">
      <c r="A14" s="3" t="s">
        <v>78</v>
      </c>
      <c r="B14" s="3" t="s">
        <v>79</v>
      </c>
      <c r="C14" s="3" t="s">
        <v>80</v>
      </c>
      <c r="D14" s="3" t="s">
        <v>64</v>
      </c>
      <c r="E14" s="3" t="s">
        <v>81</v>
      </c>
      <c r="F14" s="3" t="s">
        <v>82</v>
      </c>
      <c r="G14" s="3" t="s">
        <v>42</v>
      </c>
      <c r="H14" s="3" t="s">
        <v>20</v>
      </c>
      <c r="I14" s="3"/>
      <c r="J14" s="3"/>
      <c r="K14" s="3"/>
      <c r="L14" s="3"/>
      <c r="M14" s="3"/>
    </row>
    <row r="15" customFormat="false" ht="45" hidden="false" customHeight="true" outlineLevel="0" collapsed="false">
      <c r="A15" s="3" t="s">
        <v>83</v>
      </c>
      <c r="B15" s="3" t="s">
        <v>84</v>
      </c>
      <c r="C15" s="3" t="s">
        <v>85</v>
      </c>
      <c r="D15" s="3" t="s">
        <v>64</v>
      </c>
      <c r="E15" s="3" t="s">
        <v>86</v>
      </c>
      <c r="F15" s="3" t="s">
        <v>87</v>
      </c>
      <c r="G15" s="3" t="s">
        <v>42</v>
      </c>
      <c r="H15" s="3" t="s">
        <v>20</v>
      </c>
      <c r="I15" s="3"/>
      <c r="J15" s="3"/>
      <c r="K15" s="3"/>
      <c r="L15" s="3"/>
      <c r="M15" s="3"/>
    </row>
    <row r="16" customFormat="false" ht="45" hidden="false" customHeight="true" outlineLevel="0" collapsed="false">
      <c r="A16" s="4" t="s">
        <v>88</v>
      </c>
      <c r="B16" s="4" t="s">
        <v>89</v>
      </c>
      <c r="C16" s="4" t="s">
        <v>90</v>
      </c>
      <c r="D16" s="4" t="s">
        <v>91</v>
      </c>
      <c r="E16" s="4" t="s">
        <v>92</v>
      </c>
      <c r="F16" s="4" t="s">
        <v>93</v>
      </c>
      <c r="G16" s="4"/>
      <c r="H16" s="4" t="s">
        <v>20</v>
      </c>
      <c r="I16" s="4"/>
      <c r="J16" s="4"/>
      <c r="K16" s="4"/>
      <c r="L16" s="4"/>
      <c r="M16" s="4"/>
    </row>
    <row r="17" customFormat="false" ht="45" hidden="false" customHeight="true" outlineLevel="0" collapsed="false">
      <c r="A17" s="4" t="s">
        <v>94</v>
      </c>
      <c r="B17" s="4" t="s">
        <v>95</v>
      </c>
      <c r="C17" s="4" t="s">
        <v>90</v>
      </c>
      <c r="D17" s="4" t="s">
        <v>91</v>
      </c>
      <c r="E17" s="4" t="s">
        <v>96</v>
      </c>
      <c r="F17" s="4" t="s">
        <v>97</v>
      </c>
      <c r="G17" s="4"/>
      <c r="H17" s="4" t="s">
        <v>20</v>
      </c>
      <c r="I17" s="4"/>
      <c r="J17" s="4"/>
      <c r="K17" s="4"/>
      <c r="L17" s="4"/>
      <c r="M17" s="4"/>
    </row>
    <row r="18" customFormat="false" ht="45" hidden="false" customHeight="true" outlineLevel="0" collapsed="false">
      <c r="A18" s="4" t="s">
        <v>98</v>
      </c>
      <c r="B18" s="4" t="s">
        <v>99</v>
      </c>
      <c r="C18" s="4" t="s">
        <v>100</v>
      </c>
      <c r="D18" s="4" t="s">
        <v>91</v>
      </c>
      <c r="E18" s="4" t="s">
        <v>101</v>
      </c>
      <c r="F18" s="4" t="s">
        <v>102</v>
      </c>
      <c r="G18" s="4"/>
      <c r="H18" s="4" t="s">
        <v>20</v>
      </c>
      <c r="I18" s="4"/>
      <c r="J18" s="4"/>
      <c r="K18" s="4"/>
      <c r="L18" s="4"/>
      <c r="M18" s="4"/>
    </row>
    <row r="19" customFormat="false" ht="45" hidden="false" customHeight="true" outlineLevel="0" collapsed="false">
      <c r="A19" s="4" t="s">
        <v>103</v>
      </c>
      <c r="B19" s="4" t="s">
        <v>104</v>
      </c>
      <c r="C19" s="4" t="s">
        <v>105</v>
      </c>
      <c r="D19" s="4" t="s">
        <v>91</v>
      </c>
      <c r="E19" s="4" t="s">
        <v>106</v>
      </c>
      <c r="F19" s="4" t="s">
        <v>107</v>
      </c>
      <c r="G19" s="4"/>
      <c r="H19" s="4" t="s">
        <v>20</v>
      </c>
      <c r="I19" s="4"/>
      <c r="J19" s="4"/>
      <c r="K19" s="4"/>
      <c r="L19" s="4"/>
      <c r="M19" s="4"/>
    </row>
    <row r="20" customFormat="false" ht="45" hidden="false" customHeight="true" outlineLevel="0" collapsed="false">
      <c r="A20" s="4" t="s">
        <v>108</v>
      </c>
      <c r="B20" s="4" t="s">
        <v>109</v>
      </c>
      <c r="C20" s="4" t="s">
        <v>110</v>
      </c>
      <c r="D20" s="4" t="s">
        <v>91</v>
      </c>
      <c r="E20" s="4" t="s">
        <v>111</v>
      </c>
      <c r="F20" s="4" t="s">
        <v>112</v>
      </c>
      <c r="G20" s="4"/>
      <c r="H20" s="4" t="s">
        <v>20</v>
      </c>
      <c r="I20" s="4"/>
      <c r="J20" s="4"/>
      <c r="K20" s="4"/>
      <c r="L20" s="4"/>
      <c r="M20" s="4"/>
    </row>
    <row r="21" customFormat="false" ht="45" hidden="false" customHeight="true" outlineLevel="0" collapsed="false">
      <c r="A21" s="4" t="s">
        <v>113</v>
      </c>
      <c r="B21" s="4" t="s">
        <v>114</v>
      </c>
      <c r="C21" s="4" t="s">
        <v>110</v>
      </c>
      <c r="D21" s="4" t="s">
        <v>91</v>
      </c>
      <c r="E21" s="4" t="s">
        <v>115</v>
      </c>
      <c r="F21" s="4" t="s">
        <v>116</v>
      </c>
      <c r="G21" s="4"/>
      <c r="H21" s="4" t="s">
        <v>20</v>
      </c>
      <c r="I21" s="4"/>
      <c r="J21" s="4"/>
      <c r="K21" s="4"/>
      <c r="L21" s="4"/>
      <c r="M21" s="4"/>
    </row>
    <row r="22" customFormat="false" ht="45" hidden="false" customHeight="true" outlineLevel="0" collapsed="false">
      <c r="A22" s="4" t="s">
        <v>117</v>
      </c>
      <c r="B22" s="4" t="s">
        <v>118</v>
      </c>
      <c r="C22" s="4" t="s">
        <v>119</v>
      </c>
      <c r="D22" s="4" t="s">
        <v>91</v>
      </c>
      <c r="E22" s="4" t="s">
        <v>120</v>
      </c>
      <c r="F22" s="4" t="s">
        <v>121</v>
      </c>
      <c r="G22" s="4"/>
      <c r="H22" s="4" t="s">
        <v>20</v>
      </c>
      <c r="I22" s="4"/>
      <c r="J22" s="4"/>
      <c r="K22" s="4"/>
      <c r="L22" s="4"/>
      <c r="M22" s="4"/>
    </row>
  </sheetData>
  <autoFilter ref="A1:M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8"/>
  </cols>
  <sheetData>
    <row r="1" customFormat="false" ht="17.35" hidden="false" customHeight="false" outlineLevel="0" collapsed="false">
      <c r="A1" s="5" t="s">
        <v>122</v>
      </c>
      <c r="B1" s="5"/>
      <c r="C1" s="5"/>
      <c r="D1" s="5"/>
    </row>
    <row r="3" customFormat="false" ht="15" hidden="false" customHeight="false" outlineLevel="0" collapsed="false">
      <c r="A3" s="6" t="s">
        <v>123</v>
      </c>
      <c r="B3" s="6" t="s">
        <v>16</v>
      </c>
      <c r="C3" s="6" t="s">
        <v>64</v>
      </c>
      <c r="D3" s="6" t="s">
        <v>91</v>
      </c>
    </row>
    <row r="4" customFormat="false" ht="15" hidden="false" customHeight="false" outlineLevel="0" collapsed="false">
      <c r="A4" s="7" t="s">
        <v>124</v>
      </c>
      <c r="B4" s="8" t="n">
        <f aca="false">COUNTIF('Sprint Tracker'!D2:D100,"NOW")</f>
        <v>9</v>
      </c>
      <c r="C4" s="8" t="n">
        <f aca="false">COUNTIF('Sprint Tracker'!D2:D100,"NEXT")</f>
        <v>5</v>
      </c>
      <c r="D4" s="8" t="n">
        <f aca="false">COUNTIF('Sprint Tracker'!D2:D100,"LATER")</f>
        <v>7</v>
      </c>
    </row>
    <row r="5" customFormat="false" ht="15" hidden="false" customHeight="false" outlineLevel="0" collapsed="false">
      <c r="A5" s="7" t="s">
        <v>20</v>
      </c>
      <c r="B5" s="8" t="n">
        <f aca="false">COUNTIFS('Sprint Tracker'!D2:D100,"NOW",'Sprint Tracker'!H2:H100,"Not Started")</f>
        <v>9</v>
      </c>
      <c r="C5" s="8" t="n">
        <f aca="false">COUNTIFS('Sprint Tracker'!D2:D100,"NEXT",'Sprint Tracker'!H2:H100,"Not Started")</f>
        <v>5</v>
      </c>
      <c r="D5" s="8" t="n">
        <f aca="false">COUNTIFS('Sprint Tracker'!D2:D100,"LATER",'Sprint Tracker'!H2:H100,"Not Started")</f>
        <v>7</v>
      </c>
    </row>
    <row r="6" customFormat="false" ht="15" hidden="false" customHeight="false" outlineLevel="0" collapsed="false">
      <c r="A6" s="7" t="s">
        <v>125</v>
      </c>
      <c r="B6" s="8" t="n">
        <f aca="false">COUNTIFS('Sprint Tracker'!D2:D100,"NOW",'Sprint Tracker'!H2:H100,"In Progress")</f>
        <v>0</v>
      </c>
      <c r="C6" s="8" t="n">
        <f aca="false">COUNTIFS('Sprint Tracker'!D2:D100,"NEXT",'Sprint Tracker'!H2:H100,"In Progress")</f>
        <v>0</v>
      </c>
      <c r="D6" s="8" t="n">
        <f aca="false">COUNTIFS('Sprint Tracker'!D2:D100,"LATER",'Sprint Tracker'!H2:H100,"In Progress")</f>
        <v>0</v>
      </c>
    </row>
    <row r="7" customFormat="false" ht="15" hidden="false" customHeight="false" outlineLevel="0" collapsed="false">
      <c r="A7" s="7" t="s">
        <v>126</v>
      </c>
      <c r="B7" s="8" t="n">
        <f aca="false">COUNTIFS('Sprint Tracker'!D2:D100,"NOW",'Sprint Tracker'!H2:H100,"Complete")</f>
        <v>0</v>
      </c>
      <c r="C7" s="8" t="n">
        <f aca="false">COUNTIFS('Sprint Tracker'!D2:D100,"NEXT",'Sprint Tracker'!H2:H100,"Complete")</f>
        <v>0</v>
      </c>
      <c r="D7" s="8" t="n">
        <f aca="false">COUNTIFS('Sprint Tracker'!D2:D100,"LATER",'Sprint Tracker'!H2:H100,"Complete")</f>
        <v>0</v>
      </c>
    </row>
    <row r="8" customFormat="false" ht="15" hidden="false" customHeight="false" outlineLevel="0" collapsed="false">
      <c r="A8" s="7" t="s">
        <v>127</v>
      </c>
      <c r="B8" s="8" t="n">
        <f aca="false">COUNTIFS('Sprint Tracker'!D2:D100,"NOW",'Sprint Tracker'!H2:H100,"Blocked")</f>
        <v>0</v>
      </c>
      <c r="C8" s="8" t="n">
        <f aca="false">COUNTIFS('Sprint Tracker'!D2:D100,"NEXT",'Sprint Tracker'!H2:H100,"Blocked")</f>
        <v>0</v>
      </c>
      <c r="D8" s="8" t="n">
        <f aca="false">COUNTIFS('Sprint Tracker'!D2:D100,"LATER",'Sprint Tracker'!H2:H100,"Blocked")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14"/>
  </cols>
  <sheetData>
    <row r="1" customFormat="false" ht="26.85" hidden="false" customHeight="false" outlineLevel="0" collapsed="false">
      <c r="A1" s="9" t="s">
        <v>0</v>
      </c>
      <c r="B1" s="9" t="s">
        <v>128</v>
      </c>
      <c r="C1" s="9" t="s">
        <v>129</v>
      </c>
      <c r="D1" s="9" t="s">
        <v>130</v>
      </c>
      <c r="E1" s="9" t="s">
        <v>7</v>
      </c>
      <c r="F1" s="9" t="s">
        <v>131</v>
      </c>
      <c r="G1" s="9" t="s">
        <v>132</v>
      </c>
    </row>
    <row r="2" customFormat="false" ht="23.85" hidden="false" customHeight="false" outlineLevel="0" collapsed="false">
      <c r="A2" s="10" t="s">
        <v>133</v>
      </c>
      <c r="B2" s="10" t="s">
        <v>134</v>
      </c>
      <c r="C2" s="10" t="s">
        <v>135</v>
      </c>
      <c r="D2" s="10" t="s">
        <v>136</v>
      </c>
      <c r="E2" s="10" t="s">
        <v>137</v>
      </c>
      <c r="F2" s="10"/>
      <c r="G2" s="10"/>
    </row>
    <row r="3" customFormat="false" ht="15" hidden="false" customHeight="false" outlineLevel="0" collapsed="false">
      <c r="A3" s="10" t="s">
        <v>138</v>
      </c>
      <c r="B3" s="10" t="s">
        <v>139</v>
      </c>
      <c r="C3" s="10" t="s">
        <v>140</v>
      </c>
      <c r="D3" s="10" t="s">
        <v>141</v>
      </c>
      <c r="E3" s="10" t="s">
        <v>137</v>
      </c>
      <c r="F3" s="10"/>
      <c r="G3" s="10"/>
    </row>
    <row r="4" customFormat="false" ht="15" hidden="false" customHeight="false" outlineLevel="0" collapsed="false">
      <c r="A4" s="10" t="s">
        <v>142</v>
      </c>
      <c r="B4" s="10" t="s">
        <v>143</v>
      </c>
      <c r="C4" s="10" t="s">
        <v>144</v>
      </c>
      <c r="D4" s="10" t="s">
        <v>145</v>
      </c>
      <c r="E4" s="10" t="s">
        <v>137</v>
      </c>
      <c r="F4" s="10"/>
      <c r="G4" s="10"/>
    </row>
    <row r="5" customFormat="false" ht="15" hidden="false" customHeight="false" outlineLevel="0" collapsed="false">
      <c r="A5" s="10" t="s">
        <v>146</v>
      </c>
      <c r="B5" s="10" t="s">
        <v>147</v>
      </c>
      <c r="C5" s="10" t="s">
        <v>148</v>
      </c>
      <c r="D5" s="10" t="s">
        <v>149</v>
      </c>
      <c r="E5" s="10" t="s">
        <v>137</v>
      </c>
      <c r="F5" s="10"/>
      <c r="G5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2026-04-06T05:17:43Z</dcterms:created>
  <dc:creator>openpyxl</dc:creator>
  <dc:description/>
  <dc:language>en-US</dc:language>
  <cp:lastModifiedBy/>
  <dcterms:modified xsi:type="dcterms:W3CDTF">2026-04-06T05:17:43Z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